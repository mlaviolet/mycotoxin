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2" documentId="8_{153347F1-2F68-4249-85A7-E5A4899E42D0}" xr6:coauthVersionLast="47" xr6:coauthVersionMax="47" xr10:uidLastSave="{C6898D4C-9642-4684-BA36-8AAB45E43DC7}"/>
  <bookViews>
    <workbookView xWindow="204" yWindow="12" windowWidth="22836" windowHeight="12228" xr2:uid="{9E4960B8-70EA-4DF0-A139-31BD5AB8E3A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F62" i="1"/>
  <c r="D62" i="1"/>
  <c r="AK12" i="1"/>
  <c r="AK13" i="1" s="1"/>
  <c r="H11" i="1"/>
  <c r="F11" i="1"/>
  <c r="E11" i="1"/>
  <c r="D11" i="1"/>
</calcChain>
</file>

<file path=xl/sharedStrings.xml><?xml version="1.0" encoding="utf-8"?>
<sst xmlns="http://schemas.openxmlformats.org/spreadsheetml/2006/main" count="3888" uniqueCount="235">
  <si>
    <t>Beau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</si>
  <si>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</si>
  <si>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</si>
  <si>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</si>
  <si>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</si>
  <si>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</si>
  <si>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</si>
  <si>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</si>
  <si>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</si>
  <si>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</si>
  <si>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</si>
  <si>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</si>
  <si>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CIT</t>
  </si>
  <si>
    <t>FB1</t>
  </si>
  <si>
    <t>FB2</t>
  </si>
  <si>
    <t>FB3</t>
  </si>
  <si>
    <t>OTA</t>
  </si>
  <si>
    <t>CPA</t>
  </si>
  <si>
    <t>GRIS</t>
  </si>
  <si>
    <t>Beta</t>
  </si>
  <si>
    <t>DOM</t>
  </si>
  <si>
    <t>ALT</t>
  </si>
  <si>
    <t>S251181258-233648</t>
  </si>
  <si>
    <t>Number</t>
  </si>
  <si>
    <t>Rocq</t>
  </si>
  <si>
    <t>Sterig</t>
  </si>
  <si>
    <t>nd</t>
  </si>
  <si>
    <t>Goldfish</t>
  </si>
  <si>
    <t>S251181258-233645</t>
  </si>
  <si>
    <t>S251181258-233643</t>
  </si>
  <si>
    <t>S242961615-202005</t>
  </si>
  <si>
    <t>S242961615-201994</t>
  </si>
  <si>
    <t>S250551125-223923</t>
  </si>
  <si>
    <t>S251181241-233640</t>
  </si>
  <si>
    <t>S251181241-233641</t>
  </si>
  <si>
    <t>S251181241-233642</t>
  </si>
  <si>
    <t>S251181258-233647</t>
  </si>
  <si>
    <t>S242961615-202004</t>
  </si>
  <si>
    <t>S242961615-202003</t>
  </si>
  <si>
    <t>S242961615-202001</t>
  </si>
  <si>
    <t>S242961615-201998</t>
  </si>
  <si>
    <t>S242961615-201999</t>
  </si>
  <si>
    <t>S242961615-202000</t>
  </si>
  <si>
    <t>S242961615-201995</t>
  </si>
  <si>
    <t>S242961615-201996</t>
  </si>
  <si>
    <t>S250551125-223927</t>
  </si>
  <si>
    <t>S250551125-223926</t>
  </si>
  <si>
    <t>S250551125-223922</t>
  </si>
  <si>
    <t>S250551125-223928</t>
  </si>
  <si>
    <t>S250551125-223931</t>
  </si>
  <si>
    <t>S251181241-233636</t>
  </si>
  <si>
    <t>S242960827-202084</t>
  </si>
  <si>
    <t>S242969827-202085</t>
  </si>
  <si>
    <t>S242960827-202068</t>
  </si>
  <si>
    <t>S242960827-202088</t>
  </si>
  <si>
    <t>S242960827-202087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</si>
  <si>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</si>
  <si>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</si>
  <si>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</si>
  <si>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</si>
  <si>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</si>
  <si>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</si>
  <si>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Grape-Nuts</t>
  </si>
  <si>
    <t>S242960827-202078</t>
  </si>
  <si>
    <t>Alpha</t>
  </si>
  <si>
    <t>S242960827-202079</t>
  </si>
  <si>
    <t>S242960827-202080</t>
  </si>
  <si>
    <t>S242969827-202081</t>
  </si>
  <si>
    <t>S242960827-202082</t>
  </si>
  <si>
    <t>Cheerios</t>
  </si>
  <si>
    <t>S242960827-202083</t>
  </si>
  <si>
    <t>S250551125-223930</t>
  </si>
  <si>
    <t>S240241332-165026</t>
  </si>
  <si>
    <t>S250551125-223924</t>
  </si>
  <si>
    <t>S251181258-233646</t>
  </si>
  <si>
    <t>S251181258-233644</t>
  </si>
  <si>
    <t>S250551125-223932</t>
  </si>
  <si>
    <t>S243610725-214020</t>
  </si>
  <si>
    <t>S243610725-214021</t>
  </si>
  <si>
    <t>S243530928-211969</t>
  </si>
  <si>
    <t>S250230839-218316</t>
  </si>
  <si>
    <t>Linguine</t>
  </si>
  <si>
    <t>S251181258-233652</t>
  </si>
  <si>
    <t>S251181258-233657</t>
  </si>
  <si>
    <t>Spaghetti</t>
  </si>
  <si>
    <t>S251181258-233658</t>
  </si>
  <si>
    <t>S251181258-233654</t>
  </si>
  <si>
    <t>S251181258-233651</t>
  </si>
  <si>
    <t>S251181258-233653</t>
  </si>
  <si>
    <t>S251181258-233655</t>
  </si>
  <si>
    <t>Ziti</t>
  </si>
  <si>
    <t>S242960827-202075</t>
  </si>
  <si>
    <t>S250551125-223933</t>
  </si>
  <si>
    <t>S250551125-223934</t>
  </si>
  <si>
    <t>S251181258-233656</t>
  </si>
  <si>
    <t>S251181258-233650</t>
  </si>
  <si>
    <t>S251181258-233649</t>
  </si>
  <si>
    <t>S251181241-233638</t>
  </si>
  <si>
    <t>S251181241-233639</t>
  </si>
  <si>
    <t>S251181241-233637</t>
  </si>
  <si>
    <t>S242961615-202002</t>
  </si>
  <si>
    <t>S242961615-201997</t>
  </si>
  <si>
    <t>S250551125-223921</t>
  </si>
  <si>
    <t>S250551125-223925</t>
  </si>
  <si>
    <t>Wheat</t>
  </si>
  <si>
    <t>S243610725-214019</t>
  </si>
  <si>
    <t>S250221430-217975</t>
  </si>
  <si>
    <t>S250221430-217976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</si>
  <si>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</si>
  <si>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</si>
  <si>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</si>
  <si>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</si>
  <si>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</si>
  <si>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</si>
  <si>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</si>
  <si>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S250291007-219189</t>
  </si>
  <si>
    <t>S251511351-237970</t>
  </si>
  <si>
    <t>S242781609-199273</t>
  </si>
  <si>
    <t>S252280754-248165</t>
  </si>
  <si>
    <t>S251511351-237971 *2</t>
  </si>
  <si>
    <t>S251181230-233634</t>
  </si>
  <si>
    <t>S242781609-199272</t>
  </si>
  <si>
    <t>S251181230-233635</t>
  </si>
  <si>
    <t>S242781609-199274</t>
  </si>
  <si>
    <t>S252280754-248163</t>
  </si>
  <si>
    <t>S251181230-233633</t>
  </si>
  <si>
    <t>S250291007-219190</t>
  </si>
  <si>
    <t xml:space="preserve">S242781609-199271 </t>
  </si>
  <si>
    <t>S251511351-237969</t>
  </si>
  <si>
    <t>S251541250-237818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</si>
  <si>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</si>
  <si>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</si>
  <si>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</si>
  <si>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</si>
  <si>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</si>
  <si>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</si>
  <si>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</si>
  <si>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</si>
  <si>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</si>
  <si>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</si>
  <si>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</si>
  <si>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</si>
  <si>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</si>
  <si>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</si>
  <si>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</si>
  <si>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</si>
  <si>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</si>
  <si>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</si>
  <si>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</si>
  <si>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</si>
  <si>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 xml:space="preserve">S250551125-223929 </t>
  </si>
  <si>
    <t>S242781609-199172</t>
  </si>
  <si>
    <t xml:space="preserve">AME  </t>
  </si>
  <si>
    <t>AME</t>
  </si>
  <si>
    <t>np</t>
  </si>
  <si>
    <t>Animal_crackers</t>
  </si>
  <si>
    <t>Goldfish_pretzel</t>
  </si>
  <si>
    <t>Animal_crackers_whole_grain</t>
  </si>
  <si>
    <t>Her_solo_biscuit</t>
  </si>
  <si>
    <t>Grain_&amp;_grow_puffs</t>
  </si>
  <si>
    <t>LIL_crunchies_cheddar</t>
  </si>
  <si>
    <t>Teddy_grahams</t>
  </si>
  <si>
    <t>Bunny_grahams</t>
  </si>
  <si>
    <t>Sunny_days_snack_bars</t>
  </si>
  <si>
    <t>Baby_little_crunchies</t>
  </si>
  <si>
    <t>Gerber_white_cheddar_&amp;_broccoli</t>
  </si>
  <si>
    <t>Veggie_straws</t>
  </si>
  <si>
    <t>Veggie_puffs</t>
  </si>
  <si>
    <t>Sweet_potato_sticks</t>
  </si>
  <si>
    <t>Oat_fiber_bar</t>
  </si>
  <si>
    <t>Banana_biscotti</t>
  </si>
  <si>
    <t>Chocolate_biscuits</t>
  </si>
  <si>
    <t>Corn_snacks</t>
  </si>
  <si>
    <t>Oat_bars</t>
  </si>
  <si>
    <t>Tubinhos_De_Crao_De_Bico</t>
  </si>
  <si>
    <t>Cheez_It_Original</t>
  </si>
  <si>
    <t>Kix_Cereal</t>
  </si>
  <si>
    <t>Organic_fruit_and_veggie_bars</t>
  </si>
  <si>
    <t>Shredded_Wheat</t>
  </si>
  <si>
    <t>Corn_Chex</t>
  </si>
  <si>
    <t>Rice_Krispies</t>
  </si>
  <si>
    <t>Frosted_Mini_Wheats</t>
  </si>
  <si>
    <t>Corn_Flakes</t>
  </si>
  <si>
    <t>Corn_Pops</t>
  </si>
  <si>
    <t>Raisin_Bran</t>
  </si>
  <si>
    <t>Special_K</t>
  </si>
  <si>
    <t>Frosted_Flakes</t>
  </si>
  <si>
    <t>Honey_&amp;_Oat_Granola</t>
  </si>
  <si>
    <t>Toasted_Wheat_Cereal</t>
  </si>
  <si>
    <t>Old_Fashoined_Oats</t>
  </si>
  <si>
    <t>Fruit_Loops</t>
  </si>
  <si>
    <t>Apple_Jacks</t>
  </si>
  <si>
    <t>Reeses_Puffs</t>
  </si>
  <si>
    <t>Nutriben_Cereais</t>
  </si>
  <si>
    <t>Baby_Udon_Flavor_Rice</t>
  </si>
  <si>
    <t>Long_Spaghetti</t>
  </si>
  <si>
    <t>Whole_Grain_Penne</t>
  </si>
  <si>
    <t>Baby_Grained_Noodle</t>
  </si>
  <si>
    <t>Hello_Kitty_Pasta</t>
  </si>
  <si>
    <t>Annies_Pasta_and_Cheddar</t>
  </si>
  <si>
    <t>Annies_Pasta_and_Cheddar_Marvel</t>
  </si>
  <si>
    <t>Enfamil_Prosobee</t>
  </si>
  <si>
    <t>Pediasure_Grow_&amp;_Gain</t>
  </si>
  <si>
    <t>Similac_Soy_Isomil</t>
  </si>
  <si>
    <t>Baby_Bean_Bowl</t>
  </si>
  <si>
    <t>Organic_Baby_Breakfast_Bowl</t>
  </si>
  <si>
    <t>Fruit_Puree</t>
  </si>
  <si>
    <t>Apple_Juice</t>
  </si>
  <si>
    <t>Wheat_Midds</t>
  </si>
  <si>
    <t>Wheat_Gluten</t>
  </si>
  <si>
    <t>ALMOND_FLOUR</t>
  </si>
  <si>
    <t>Almond_Flour</t>
  </si>
  <si>
    <t>Almond_flour</t>
  </si>
  <si>
    <t>Coconut_Flour</t>
  </si>
  <si>
    <t>Wild_Cacao_Powder</t>
  </si>
  <si>
    <t>Chocolate_Powder</t>
  </si>
  <si>
    <t>Chocolat_Chunks</t>
  </si>
  <si>
    <t>Arrowroot_Starch</t>
  </si>
  <si>
    <t>Tapioca_Powder</t>
  </si>
  <si>
    <t>GROUND_CORN</t>
  </si>
  <si>
    <t>15_Ace</t>
  </si>
  <si>
    <t>3_Ace</t>
  </si>
  <si>
    <t xml:space="preserve">15_Ace </t>
  </si>
  <si>
    <t>Oatmeal2</t>
  </si>
  <si>
    <t>Oatmeal1</t>
  </si>
  <si>
    <t>Rice1</t>
  </si>
  <si>
    <t>Rice2</t>
  </si>
  <si>
    <t>Food_tested</t>
  </si>
  <si>
    <t>Enn_B</t>
  </si>
  <si>
    <t>Enn_B1</t>
  </si>
  <si>
    <t xml:space="preserve">Enn_A </t>
  </si>
  <si>
    <t>Enn_A1</t>
  </si>
  <si>
    <t>DON_3_Glu</t>
  </si>
  <si>
    <t>dn</t>
  </si>
  <si>
    <t>HT_2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</si>
</sst>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" fontId="0" fillId="0" borderId="0" xfId="0" applyNumberFormat="1"/>
    <xf numFmtId="0" fontId="0" fillId="3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EF0-586B-4A76-B848-68758BD48FB8}">
  <dimension ref="A1:AN126"/>
  <sheetViews>
    <sheetView tabSelected="1" workbookViewId="0">
      <selection activeCell="S121" sqref="S121"/>
    </sheetView>
  </sheetViews>
  <sheetFormatPr defaultRowHeight="14.4" x14ac:dyDescent="0.55000000000000004"/>
  <cols>
    <col min="37" max="37" width="10.20703125" bestFit="1" customWidth="1"/>
  </cols>
  <sheetData>
    <row r="1" spans="1:38" x14ac:dyDescent="0.55000000000000004">
      <c r="A1" s="1" t="s">
        <v>227</v>
      </c>
      <c r="B1" s="1" t="s">
        <v>23</v>
      </c>
      <c r="D1" s="1" t="s">
        <v>231</v>
      </c>
      <c r="E1" s="1" t="s">
        <v>230</v>
      </c>
      <c r="F1" s="1" t="s">
        <v>229</v>
      </c>
      <c r="G1" s="1" t="s">
        <v>228</v>
      </c>
      <c r="H1" s="1" t="s">
        <v>0</v>
      </c>
      <c r="I1" s="1" t="s">
        <v>24</v>
      </c>
      <c r="J1" s="1" t="s">
        <v>220</v>
      </c>
      <c r="K1" s="1" t="s">
        <v>221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234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25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64</v>
      </c>
      <c r="AG1" s="1" t="s">
        <v>19</v>
      </c>
      <c r="AH1" s="1" t="s">
        <v>20</v>
      </c>
      <c r="AI1" s="1" t="s">
        <v>232</v>
      </c>
      <c r="AJ1" s="1" t="s">
        <v>21</v>
      </c>
      <c r="AK1" s="1" t="s">
        <v>152</v>
      </c>
      <c r="AL1" s="1"/>
    </row>
    <row r="2" spans="1:38" x14ac:dyDescent="0.55000000000000004">
      <c r="A2" t="s">
        <v>155</v>
      </c>
      <c r="B2" t="s">
        <v>22</v>
      </c>
      <c r="D2" s="7" t="s">
        <v>26</v>
      </c>
      <c r="E2" s="4" t="s">
        <v>26</v>
      </c>
      <c r="F2" s="4">
        <v>2.34</v>
      </c>
      <c r="G2" s="4">
        <v>2.73</v>
      </c>
      <c r="H2" s="7">
        <v>2.7</v>
      </c>
      <c r="I2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>
        <v>100</v>
      </c>
      <c r="R2" s="4" t="s">
        <v>26</v>
      </c>
      <c r="S2" s="4" t="s">
        <v>26</v>
      </c>
      <c r="T2" s="7" t="s">
        <v>26</v>
      </c>
      <c r="U2" s="4" t="s">
        <v>26</v>
      </c>
      <c r="V2" s="7" t="s">
        <v>26</v>
      </c>
      <c r="W2" s="4" t="s">
        <v>26</v>
      </c>
      <c r="X2" s="4" t="s">
        <v>26</v>
      </c>
      <c r="Y2" s="4" t="s">
        <v>26</v>
      </c>
      <c r="Z2" s="4" t="s">
        <v>26</v>
      </c>
      <c r="AA2" s="4" t="s">
        <v>26</v>
      </c>
      <c r="AB2" s="4" t="s">
        <v>26</v>
      </c>
      <c r="AC2" s="4" t="s">
        <v>26</v>
      </c>
      <c r="AD2" s="4" t="s">
        <v>26</v>
      </c>
      <c r="AE2" s="4" t="s">
        <v>26</v>
      </c>
      <c r="AF2" s="4" t="s">
        <v>26</v>
      </c>
      <c r="AG2" s="4" t="s">
        <v>26</v>
      </c>
      <c r="AH2" s="4" t="s">
        <v>26</v>
      </c>
      <c r="AI2" s="4" t="s">
        <v>26</v>
      </c>
      <c r="AJ2" s="4" t="s">
        <v>26</v>
      </c>
      <c r="AK2" s="4">
        <v>3.8</v>
      </c>
    </row>
    <row r="3" spans="1:38" x14ac:dyDescent="0.55000000000000004">
      <c r="A3" t="s">
        <v>155</v>
      </c>
      <c r="B3" t="s">
        <v>150</v>
      </c>
      <c r="D3" s="4">
        <v>9.3540713632204948</v>
      </c>
      <c r="E3" s="4">
        <v>10.245788667687595</v>
      </c>
      <c r="F3" s="4">
        <v>9.5105501130369259</v>
      </c>
      <c r="G3" s="4">
        <v>18.74416017797553</v>
      </c>
      <c r="H3" s="7">
        <v>4.3511585085161881</v>
      </c>
      <c r="I3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7" t="s">
        <v>26</v>
      </c>
      <c r="U3" s="4" t="s">
        <v>26</v>
      </c>
      <c r="V3" s="7" t="s">
        <v>26</v>
      </c>
      <c r="W3" s="4" t="s">
        <v>26</v>
      </c>
      <c r="X3" s="4" t="s">
        <v>26</v>
      </c>
      <c r="Y3" s="4" t="s">
        <v>26</v>
      </c>
      <c r="Z3" s="4" t="s">
        <v>26</v>
      </c>
      <c r="AA3" s="4" t="s">
        <v>26</v>
      </c>
      <c r="AB3" s="4" t="s">
        <v>26</v>
      </c>
      <c r="AC3" s="4" t="s">
        <v>26</v>
      </c>
      <c r="AD3" s="4" t="s">
        <v>26</v>
      </c>
      <c r="AE3" s="4" t="s">
        <v>26</v>
      </c>
      <c r="AF3" s="4" t="s">
        <v>26</v>
      </c>
      <c r="AG3" s="4" t="s">
        <v>26</v>
      </c>
      <c r="AH3" s="4" t="s">
        <v>26</v>
      </c>
      <c r="AI3" s="4" t="s">
        <v>26</v>
      </c>
      <c r="AJ3" s="4" t="s">
        <v>26</v>
      </c>
      <c r="AK3" s="4">
        <v>0</v>
      </c>
    </row>
    <row r="4" spans="1:38" x14ac:dyDescent="0.55000000000000004">
      <c r="A4" t="s">
        <v>27</v>
      </c>
      <c r="B4" t="s">
        <v>28</v>
      </c>
      <c r="D4" s="7" t="s">
        <v>26</v>
      </c>
      <c r="E4" s="4" t="s">
        <v>154</v>
      </c>
      <c r="F4" s="4" t="s">
        <v>26</v>
      </c>
      <c r="G4" s="4">
        <v>3.35</v>
      </c>
      <c r="H4" s="7">
        <v>1.78</v>
      </c>
      <c r="I4" t="s">
        <v>26</v>
      </c>
      <c r="J4" s="4">
        <v>100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7" t="s">
        <v>26</v>
      </c>
      <c r="U4" s="4" t="s">
        <v>26</v>
      </c>
      <c r="V4" s="7" t="s">
        <v>26</v>
      </c>
      <c r="W4" s="4" t="s">
        <v>26</v>
      </c>
      <c r="X4" s="4" t="s">
        <v>26</v>
      </c>
      <c r="Y4" s="4" t="s">
        <v>26</v>
      </c>
      <c r="Z4" s="4" t="s">
        <v>26</v>
      </c>
      <c r="AA4" s="4" t="s">
        <v>26</v>
      </c>
      <c r="AB4" s="4" t="s">
        <v>26</v>
      </c>
      <c r="AC4" s="4" t="s">
        <v>26</v>
      </c>
      <c r="AD4" s="4" t="s">
        <v>26</v>
      </c>
      <c r="AE4" s="4" t="s">
        <v>26</v>
      </c>
      <c r="AF4" s="4" t="s">
        <v>26</v>
      </c>
      <c r="AG4" s="4" t="s">
        <v>26</v>
      </c>
      <c r="AH4" s="4" t="s">
        <v>26</v>
      </c>
      <c r="AI4" s="4" t="s">
        <v>26</v>
      </c>
      <c r="AJ4" s="4" t="s">
        <v>26</v>
      </c>
      <c r="AK4" s="4">
        <v>6</v>
      </c>
    </row>
    <row r="5" spans="1:38" x14ac:dyDescent="0.55000000000000004">
      <c r="A5" t="s">
        <v>27</v>
      </c>
      <c r="B5" t="s">
        <v>75</v>
      </c>
      <c r="D5" s="7" t="s">
        <v>26</v>
      </c>
      <c r="E5" s="7" t="s">
        <v>26</v>
      </c>
      <c r="F5" s="7" t="s">
        <v>26</v>
      </c>
      <c r="G5" s="7" t="s">
        <v>26</v>
      </c>
      <c r="H5" s="7" t="s">
        <v>26</v>
      </c>
      <c r="I5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  <c r="S5" s="4" t="s">
        <v>26</v>
      </c>
      <c r="T5" s="7" t="s">
        <v>26</v>
      </c>
      <c r="U5" s="4" t="s">
        <v>26</v>
      </c>
      <c r="V5" s="7" t="s">
        <v>26</v>
      </c>
      <c r="W5" s="4" t="s">
        <v>26</v>
      </c>
      <c r="X5" s="4" t="s">
        <v>26</v>
      </c>
      <c r="Y5" s="4" t="s">
        <v>26</v>
      </c>
      <c r="Z5" s="4" t="s">
        <v>26</v>
      </c>
      <c r="AA5" s="4" t="s">
        <v>26</v>
      </c>
      <c r="AB5" s="4" t="s">
        <v>26</v>
      </c>
      <c r="AC5" s="4" t="s">
        <v>26</v>
      </c>
      <c r="AD5" s="4" t="s">
        <v>26</v>
      </c>
      <c r="AE5" s="4" t="s">
        <v>26</v>
      </c>
      <c r="AF5" s="4" t="s">
        <v>26</v>
      </c>
      <c r="AG5" s="4" t="s">
        <v>26</v>
      </c>
      <c r="AH5" s="4" t="s">
        <v>26</v>
      </c>
      <c r="AI5" s="4" t="s">
        <v>26</v>
      </c>
      <c r="AJ5" s="4" t="s">
        <v>26</v>
      </c>
      <c r="AK5" s="4" t="s">
        <v>26</v>
      </c>
    </row>
    <row r="6" spans="1:38" x14ac:dyDescent="0.55000000000000004">
      <c r="A6" t="s">
        <v>27</v>
      </c>
      <c r="B6" t="s">
        <v>30</v>
      </c>
      <c r="D6" s="7" t="s">
        <v>26</v>
      </c>
      <c r="E6" s="7" t="s">
        <v>26</v>
      </c>
      <c r="F6" s="4">
        <v>2.8</v>
      </c>
      <c r="G6" s="4">
        <v>9.6999999999999993</v>
      </c>
      <c r="H6" s="7" t="s">
        <v>26</v>
      </c>
      <c r="I6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7" t="s">
        <v>26</v>
      </c>
      <c r="U6" s="4" t="s">
        <v>26</v>
      </c>
      <c r="V6" s="7" t="s">
        <v>26</v>
      </c>
      <c r="W6" s="4" t="s">
        <v>26</v>
      </c>
      <c r="X6" s="4" t="s">
        <v>26</v>
      </c>
      <c r="Y6" s="4" t="s">
        <v>26</v>
      </c>
      <c r="Z6" s="4" t="s">
        <v>26</v>
      </c>
      <c r="AA6" s="4" t="s">
        <v>26</v>
      </c>
      <c r="AB6" s="4" t="s">
        <v>26</v>
      </c>
      <c r="AC6" s="4" t="s">
        <v>26</v>
      </c>
      <c r="AD6" s="4" t="s">
        <v>26</v>
      </c>
      <c r="AE6" s="4" t="s">
        <v>26</v>
      </c>
      <c r="AF6" s="4" t="s">
        <v>26</v>
      </c>
      <c r="AG6" s="4" t="s">
        <v>26</v>
      </c>
      <c r="AH6" s="4" t="s">
        <v>26</v>
      </c>
      <c r="AI6" s="4" t="s">
        <v>26</v>
      </c>
      <c r="AJ6" s="4" t="s">
        <v>26</v>
      </c>
      <c r="AK6" s="4" t="s">
        <v>26</v>
      </c>
    </row>
    <row r="7" spans="1:38" x14ac:dyDescent="0.55000000000000004">
      <c r="A7" t="s">
        <v>156</v>
      </c>
      <c r="B7" t="s">
        <v>29</v>
      </c>
      <c r="D7" s="4" t="s">
        <v>26</v>
      </c>
      <c r="E7" s="4" t="s">
        <v>26</v>
      </c>
      <c r="F7" s="4">
        <v>2.82</v>
      </c>
      <c r="G7" s="4">
        <v>9.8000000000000007</v>
      </c>
      <c r="H7" s="4">
        <v>2.4</v>
      </c>
      <c r="I7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7" t="s">
        <v>26</v>
      </c>
      <c r="U7" s="4" t="s">
        <v>26</v>
      </c>
      <c r="V7" s="7" t="s">
        <v>26</v>
      </c>
      <c r="W7" s="4" t="s">
        <v>26</v>
      </c>
      <c r="X7" s="4" t="s">
        <v>26</v>
      </c>
      <c r="Y7" s="4" t="s">
        <v>26</v>
      </c>
      <c r="Z7" s="4" t="s">
        <v>26</v>
      </c>
      <c r="AA7" s="4" t="s">
        <v>26</v>
      </c>
      <c r="AB7" s="4" t="s">
        <v>26</v>
      </c>
      <c r="AC7" s="4" t="s">
        <v>26</v>
      </c>
      <c r="AD7" s="4" t="s">
        <v>26</v>
      </c>
      <c r="AE7" s="4" t="s">
        <v>26</v>
      </c>
      <c r="AF7" s="4" t="s">
        <v>26</v>
      </c>
      <c r="AG7" s="4" t="s">
        <v>26</v>
      </c>
      <c r="AH7" s="4" t="s">
        <v>26</v>
      </c>
      <c r="AI7" s="4" t="s">
        <v>26</v>
      </c>
      <c r="AJ7" s="4" t="s">
        <v>26</v>
      </c>
      <c r="AK7" s="4">
        <v>6.7</v>
      </c>
    </row>
    <row r="8" spans="1:38" x14ac:dyDescent="0.55000000000000004">
      <c r="A8" t="s">
        <v>157</v>
      </c>
      <c r="B8" t="s">
        <v>31</v>
      </c>
      <c r="D8" s="4">
        <v>13</v>
      </c>
      <c r="E8" s="4">
        <v>6</v>
      </c>
      <c r="F8" s="4">
        <v>43</v>
      </c>
      <c r="G8" s="4">
        <v>31</v>
      </c>
      <c r="H8" s="4">
        <v>50.5</v>
      </c>
      <c r="I8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7" t="s">
        <v>26</v>
      </c>
      <c r="U8" s="4" t="s">
        <v>26</v>
      </c>
      <c r="V8" s="7">
        <v>10.130000000000001</v>
      </c>
      <c r="W8" s="4" t="s">
        <v>26</v>
      </c>
      <c r="X8" s="4" t="s">
        <v>26</v>
      </c>
      <c r="Y8" s="4" t="s">
        <v>26</v>
      </c>
      <c r="Z8" s="4" t="s">
        <v>26</v>
      </c>
      <c r="AA8" s="4" t="s">
        <v>26</v>
      </c>
      <c r="AB8" s="4" t="s">
        <v>26</v>
      </c>
      <c r="AC8" s="4" t="s">
        <v>26</v>
      </c>
      <c r="AD8" s="4" t="s">
        <v>26</v>
      </c>
      <c r="AE8" s="4" t="s">
        <v>26</v>
      </c>
      <c r="AF8" s="4" t="s">
        <v>26</v>
      </c>
      <c r="AG8" s="4" t="s">
        <v>26</v>
      </c>
      <c r="AH8" s="4" t="s">
        <v>26</v>
      </c>
      <c r="AI8" s="4" t="s">
        <v>26</v>
      </c>
      <c r="AJ8" s="4" t="s">
        <v>26</v>
      </c>
      <c r="AK8" s="4" t="s">
        <v>26</v>
      </c>
    </row>
    <row r="9" spans="1:38" x14ac:dyDescent="0.55000000000000004">
      <c r="A9" t="s">
        <v>158</v>
      </c>
      <c r="B9" t="s">
        <v>32</v>
      </c>
      <c r="D9" s="4">
        <v>10.6</v>
      </c>
      <c r="E9" s="4">
        <v>12.4</v>
      </c>
      <c r="F9" s="4">
        <v>8.4</v>
      </c>
      <c r="G9" s="4">
        <v>16</v>
      </c>
      <c r="H9" s="4">
        <v>4.5</v>
      </c>
      <c r="I9" t="s">
        <v>26</v>
      </c>
      <c r="J9" s="4" t="s">
        <v>26</v>
      </c>
      <c r="K9" s="4" t="s">
        <v>26</v>
      </c>
      <c r="L9" s="4">
        <v>0.64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7" t="s">
        <v>26</v>
      </c>
      <c r="U9" s="4" t="s">
        <v>26</v>
      </c>
      <c r="V9" s="7" t="s">
        <v>26</v>
      </c>
      <c r="W9" s="4" t="s">
        <v>26</v>
      </c>
      <c r="X9" s="4" t="s">
        <v>26</v>
      </c>
      <c r="Y9" s="4" t="s">
        <v>26</v>
      </c>
      <c r="Z9" s="4" t="s">
        <v>26</v>
      </c>
      <c r="AA9" s="4" t="s">
        <v>26</v>
      </c>
      <c r="AB9" s="4" t="s">
        <v>26</v>
      </c>
      <c r="AC9" s="4" t="s">
        <v>26</v>
      </c>
      <c r="AD9" s="4" t="s">
        <v>26</v>
      </c>
      <c r="AE9" s="4" t="s">
        <v>26</v>
      </c>
      <c r="AF9" s="4" t="s">
        <v>26</v>
      </c>
      <c r="AG9" s="4" t="s">
        <v>26</v>
      </c>
      <c r="AH9" s="4" t="s">
        <v>26</v>
      </c>
      <c r="AI9" s="4" t="s">
        <v>26</v>
      </c>
      <c r="AJ9" s="4" t="s">
        <v>26</v>
      </c>
      <c r="AK9" s="4" t="s">
        <v>26</v>
      </c>
    </row>
    <row r="10" spans="1:38" x14ac:dyDescent="0.55000000000000004">
      <c r="A10" t="s">
        <v>159</v>
      </c>
      <c r="B10" t="s">
        <v>33</v>
      </c>
      <c r="D10" s="7" t="s">
        <v>26</v>
      </c>
      <c r="E10" s="7" t="s">
        <v>26</v>
      </c>
      <c r="F10" s="7" t="s">
        <v>26</v>
      </c>
      <c r="G10" s="7" t="s">
        <v>26</v>
      </c>
      <c r="H10" s="7" t="s">
        <v>26</v>
      </c>
      <c r="I10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7" t="s">
        <v>26</v>
      </c>
      <c r="U10" s="4" t="s">
        <v>26</v>
      </c>
      <c r="V10" s="7" t="s">
        <v>26</v>
      </c>
      <c r="W10" s="4" t="s">
        <v>26</v>
      </c>
      <c r="X10" s="4" t="s">
        <v>26</v>
      </c>
      <c r="Y10" s="4" t="s">
        <v>26</v>
      </c>
      <c r="Z10" s="4" t="s">
        <v>26</v>
      </c>
      <c r="AA10" s="4" t="s">
        <v>26</v>
      </c>
      <c r="AB10" s="4" t="s">
        <v>26</v>
      </c>
      <c r="AC10" s="4" t="s">
        <v>26</v>
      </c>
      <c r="AD10" s="4" t="s">
        <v>26</v>
      </c>
      <c r="AE10" s="4" t="s">
        <v>26</v>
      </c>
      <c r="AF10" s="4" t="s">
        <v>26</v>
      </c>
      <c r="AG10" s="4" t="s">
        <v>26</v>
      </c>
      <c r="AH10" s="4" t="s">
        <v>26</v>
      </c>
      <c r="AI10" s="4" t="s">
        <v>26</v>
      </c>
      <c r="AJ10" s="4" t="s">
        <v>26</v>
      </c>
      <c r="AK10" s="4">
        <v>3.0535714285714284</v>
      </c>
    </row>
    <row r="11" spans="1:38" x14ac:dyDescent="0.55000000000000004">
      <c r="A11" t="s">
        <v>159</v>
      </c>
      <c r="B11" t="s">
        <v>34</v>
      </c>
      <c r="D11" s="4">
        <f>AVERAGE(D9:D10)-1.95</f>
        <v>8.65</v>
      </c>
      <c r="E11" s="4">
        <f>AVERAGE(E7:E10)-2.7</f>
        <v>6.4999999999999991</v>
      </c>
      <c r="F11" s="4">
        <f>AVERAGE(F6:F10)-1.1</f>
        <v>13.154999999999999</v>
      </c>
      <c r="G11" s="4" t="s">
        <v>26</v>
      </c>
      <c r="H11" s="4">
        <f>AVERAGE(H6:H10)-2.9</f>
        <v>16.233333333333334</v>
      </c>
      <c r="I11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  <c r="T11" s="7" t="s">
        <v>26</v>
      </c>
      <c r="U11" s="4" t="s">
        <v>26</v>
      </c>
      <c r="V11" s="7" t="s">
        <v>26</v>
      </c>
      <c r="W11" s="4" t="s">
        <v>26</v>
      </c>
      <c r="X11" s="4" t="s">
        <v>26</v>
      </c>
      <c r="Y11" s="4" t="s">
        <v>26</v>
      </c>
      <c r="Z11" s="4" t="s">
        <v>26</v>
      </c>
      <c r="AA11" s="4" t="s">
        <v>26</v>
      </c>
      <c r="AB11" s="4" t="s">
        <v>26</v>
      </c>
      <c r="AC11" s="4" t="s">
        <v>26</v>
      </c>
      <c r="AD11" s="4" t="s">
        <v>26</v>
      </c>
      <c r="AE11" s="4" t="s">
        <v>26</v>
      </c>
      <c r="AF11" s="4" t="s">
        <v>26</v>
      </c>
      <c r="AG11" s="4" t="s">
        <v>26</v>
      </c>
      <c r="AH11" s="4" t="s">
        <v>26</v>
      </c>
      <c r="AI11" s="4" t="s">
        <v>26</v>
      </c>
      <c r="AJ11" s="4" t="s">
        <v>26</v>
      </c>
      <c r="AK11" s="4">
        <v>2.7150096525096528</v>
      </c>
    </row>
    <row r="12" spans="1:38" x14ac:dyDescent="0.55000000000000004">
      <c r="A12" t="s">
        <v>160</v>
      </c>
      <c r="B12" t="s">
        <v>35</v>
      </c>
      <c r="D12" s="4">
        <v>3.28</v>
      </c>
      <c r="E12" s="4">
        <v>4.45</v>
      </c>
      <c r="F12" s="7" t="s">
        <v>26</v>
      </c>
      <c r="G12" s="4" t="s">
        <v>26</v>
      </c>
      <c r="H12" s="4">
        <v>3.5</v>
      </c>
      <c r="I12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7" t="s">
        <v>26</v>
      </c>
      <c r="U12" s="4" t="s">
        <v>26</v>
      </c>
      <c r="V12" s="7" t="s">
        <v>26</v>
      </c>
      <c r="W12" s="4" t="s">
        <v>26</v>
      </c>
      <c r="X12" s="4" t="s">
        <v>26</v>
      </c>
      <c r="Y12" s="4" t="s">
        <v>26</v>
      </c>
      <c r="Z12" s="4" t="s">
        <v>26</v>
      </c>
      <c r="AA12" s="4" t="s">
        <v>26</v>
      </c>
      <c r="AB12" s="4" t="s">
        <v>26</v>
      </c>
      <c r="AC12" s="4" t="s">
        <v>26</v>
      </c>
      <c r="AD12" s="4" t="s">
        <v>26</v>
      </c>
      <c r="AE12" s="4" t="s">
        <v>26</v>
      </c>
      <c r="AF12" s="4" t="s">
        <v>26</v>
      </c>
      <c r="AG12" s="4" t="s">
        <v>26</v>
      </c>
      <c r="AH12" s="4" t="s">
        <v>26</v>
      </c>
      <c r="AI12" s="4" t="s">
        <v>26</v>
      </c>
      <c r="AJ12" s="4" t="s">
        <v>26</v>
      </c>
      <c r="AK12" s="4">
        <f>AVERAGE(AK10:AK11)</f>
        <v>2.8842905405405403</v>
      </c>
    </row>
    <row r="13" spans="1:38" x14ac:dyDescent="0.55000000000000004">
      <c r="A13" t="s">
        <v>161</v>
      </c>
      <c r="B13" t="s">
        <v>36</v>
      </c>
      <c r="D13" s="4">
        <v>4.7</v>
      </c>
      <c r="E13" s="4">
        <v>6.5</v>
      </c>
      <c r="F13" s="4">
        <v>2.1</v>
      </c>
      <c r="G13" s="4" t="s">
        <v>26</v>
      </c>
      <c r="H13" s="4">
        <v>5.66</v>
      </c>
      <c r="I13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7" t="s">
        <v>26</v>
      </c>
      <c r="U13" s="4" t="s">
        <v>26</v>
      </c>
      <c r="V13" s="7" t="s">
        <v>26</v>
      </c>
      <c r="W13" s="4" t="s">
        <v>26</v>
      </c>
      <c r="X13" s="4" t="s">
        <v>26</v>
      </c>
      <c r="Y13" s="4" t="s">
        <v>26</v>
      </c>
      <c r="Z13" s="4" t="s">
        <v>26</v>
      </c>
      <c r="AA13" s="4" t="s">
        <v>26</v>
      </c>
      <c r="AB13" s="4" t="s">
        <v>26</v>
      </c>
      <c r="AC13" s="4" t="s">
        <v>26</v>
      </c>
      <c r="AD13" s="4" t="s">
        <v>26</v>
      </c>
      <c r="AE13" s="4" t="s">
        <v>26</v>
      </c>
      <c r="AF13" s="4" t="s">
        <v>26</v>
      </c>
      <c r="AG13" s="4" t="s">
        <v>26</v>
      </c>
      <c r="AH13" s="4" t="s">
        <v>26</v>
      </c>
      <c r="AI13" s="4" t="s">
        <v>26</v>
      </c>
      <c r="AJ13" s="4" t="s">
        <v>26</v>
      </c>
      <c r="AK13" s="4">
        <f>AVERAGE(AK11:AK12)</f>
        <v>2.7996500965250966</v>
      </c>
    </row>
    <row r="14" spans="1:38" x14ac:dyDescent="0.55000000000000004">
      <c r="A14" t="s">
        <v>162</v>
      </c>
      <c r="B14" t="s">
        <v>37</v>
      </c>
      <c r="D14" s="7">
        <v>1.7909999999999999</v>
      </c>
      <c r="E14" s="4">
        <v>3.1219999999999999</v>
      </c>
      <c r="F14" s="4">
        <v>9.4819999999999993</v>
      </c>
      <c r="G14" s="4">
        <v>3.5579999999999998</v>
      </c>
      <c r="H14" s="4">
        <v>42.895000000000003</v>
      </c>
      <c r="I1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7" t="s">
        <v>26</v>
      </c>
      <c r="U14" s="4" t="s">
        <v>26</v>
      </c>
      <c r="V14" s="7" t="s">
        <v>26</v>
      </c>
      <c r="W14" s="4" t="s">
        <v>26</v>
      </c>
      <c r="X14" s="4" t="s">
        <v>26</v>
      </c>
      <c r="Y14" s="4" t="s">
        <v>26</v>
      </c>
      <c r="Z14" s="4" t="s">
        <v>26</v>
      </c>
      <c r="AA14" s="4" t="s">
        <v>26</v>
      </c>
      <c r="AB14" s="4" t="s">
        <v>26</v>
      </c>
      <c r="AC14" s="4" t="s">
        <v>26</v>
      </c>
      <c r="AD14" s="4" t="s">
        <v>26</v>
      </c>
      <c r="AE14" s="4" t="s">
        <v>26</v>
      </c>
      <c r="AF14" s="4" t="s">
        <v>26</v>
      </c>
      <c r="AG14" s="4" t="s">
        <v>26</v>
      </c>
      <c r="AH14" s="4" t="s">
        <v>26</v>
      </c>
      <c r="AI14" s="4" t="s">
        <v>26</v>
      </c>
      <c r="AJ14" s="4" t="s">
        <v>26</v>
      </c>
      <c r="AK14" s="4" t="s">
        <v>26</v>
      </c>
    </row>
    <row r="15" spans="1:38" x14ac:dyDescent="0.55000000000000004">
      <c r="A15" t="s">
        <v>163</v>
      </c>
      <c r="B15" t="s">
        <v>38</v>
      </c>
      <c r="D15" s="4" t="s">
        <v>26</v>
      </c>
      <c r="E15" s="4" t="s">
        <v>26</v>
      </c>
      <c r="F15" s="4">
        <v>6.5949999999999998</v>
      </c>
      <c r="G15" s="4">
        <v>6.9249999999999998</v>
      </c>
      <c r="H15" s="4">
        <v>4.4749999999999996</v>
      </c>
      <c r="I15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  <c r="T15" s="7" t="s">
        <v>26</v>
      </c>
      <c r="U15" s="4" t="s">
        <v>26</v>
      </c>
      <c r="V15" s="7" t="s">
        <v>26</v>
      </c>
      <c r="W15" s="4" t="s">
        <v>26</v>
      </c>
      <c r="X15" s="4" t="s">
        <v>26</v>
      </c>
      <c r="Y15" s="4" t="s">
        <v>26</v>
      </c>
      <c r="Z15" s="4" t="s">
        <v>26</v>
      </c>
      <c r="AA15" s="4" t="s">
        <v>26</v>
      </c>
      <c r="AB15" s="4" t="s">
        <v>26</v>
      </c>
      <c r="AC15" s="7" t="s">
        <v>26</v>
      </c>
      <c r="AD15" s="4" t="s">
        <v>26</v>
      </c>
      <c r="AE15" s="4" t="s">
        <v>26</v>
      </c>
      <c r="AF15" s="4" t="s">
        <v>26</v>
      </c>
      <c r="AG15" s="4" t="s">
        <v>26</v>
      </c>
      <c r="AH15" s="4" t="s">
        <v>26</v>
      </c>
      <c r="AI15" s="4" t="s">
        <v>26</v>
      </c>
      <c r="AJ15" s="4" t="s">
        <v>26</v>
      </c>
      <c r="AK15" s="4" t="s">
        <v>26</v>
      </c>
    </row>
    <row r="16" spans="1:38" x14ac:dyDescent="0.55000000000000004">
      <c r="A16" t="s">
        <v>164</v>
      </c>
      <c r="B16" t="s">
        <v>39</v>
      </c>
      <c r="D16" s="7" t="s">
        <v>26</v>
      </c>
      <c r="E16" s="7" t="s">
        <v>26</v>
      </c>
      <c r="F16" s="7" t="s">
        <v>26</v>
      </c>
      <c r="G16" s="7" t="s">
        <v>26</v>
      </c>
      <c r="H16" s="7" t="s">
        <v>26</v>
      </c>
      <c r="I16" s="9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7" t="s">
        <v>26</v>
      </c>
      <c r="U16" s="4" t="s">
        <v>26</v>
      </c>
      <c r="V16" s="7" t="s">
        <v>26</v>
      </c>
      <c r="W16" s="4" t="s">
        <v>26</v>
      </c>
      <c r="X16" s="4" t="s">
        <v>26</v>
      </c>
      <c r="Y16" s="4" t="s">
        <v>26</v>
      </c>
      <c r="Z16" s="4" t="s">
        <v>26</v>
      </c>
      <c r="AA16" s="4" t="s">
        <v>26</v>
      </c>
      <c r="AB16" s="4" t="s">
        <v>26</v>
      </c>
      <c r="AC16" s="4" t="s">
        <v>26</v>
      </c>
      <c r="AD16" s="4" t="s">
        <v>26</v>
      </c>
      <c r="AE16" s="4" t="s">
        <v>26</v>
      </c>
      <c r="AF16" s="4" t="s">
        <v>26</v>
      </c>
      <c r="AG16" s="4" t="s">
        <v>26</v>
      </c>
      <c r="AH16" s="4" t="s">
        <v>26</v>
      </c>
      <c r="AI16" s="4" t="s">
        <v>26</v>
      </c>
      <c r="AJ16" s="4" t="s">
        <v>26</v>
      </c>
      <c r="AK16" s="4" t="s">
        <v>26</v>
      </c>
    </row>
    <row r="17" spans="1:38" x14ac:dyDescent="0.55000000000000004">
      <c r="A17" t="s">
        <v>165</v>
      </c>
      <c r="B17" t="s">
        <v>40</v>
      </c>
      <c r="D17" s="7" t="s">
        <v>26</v>
      </c>
      <c r="E17" s="7" t="s">
        <v>26</v>
      </c>
      <c r="F17" s="7" t="s">
        <v>26</v>
      </c>
      <c r="G17" s="7" t="s">
        <v>26</v>
      </c>
      <c r="H17" s="7" t="s">
        <v>26</v>
      </c>
      <c r="I17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  <c r="T17" s="7" t="s">
        <v>26</v>
      </c>
      <c r="U17" s="4" t="s">
        <v>26</v>
      </c>
      <c r="V17" s="7" t="s">
        <v>26</v>
      </c>
      <c r="W17" s="4" t="s">
        <v>26</v>
      </c>
      <c r="X17" s="4" t="s">
        <v>26</v>
      </c>
      <c r="Y17" s="4" t="s">
        <v>26</v>
      </c>
      <c r="Z17" s="4" t="s">
        <v>26</v>
      </c>
      <c r="AA17" s="4" t="s">
        <v>26</v>
      </c>
      <c r="AB17" s="4" t="s">
        <v>26</v>
      </c>
      <c r="AC17" s="4" t="s">
        <v>26</v>
      </c>
      <c r="AD17" s="4" t="s">
        <v>26</v>
      </c>
      <c r="AE17" s="4" t="s">
        <v>26</v>
      </c>
      <c r="AF17" s="4" t="s">
        <v>26</v>
      </c>
      <c r="AG17" s="4" t="s">
        <v>26</v>
      </c>
      <c r="AH17" s="4" t="s">
        <v>26</v>
      </c>
      <c r="AI17" s="4" t="s">
        <v>26</v>
      </c>
      <c r="AJ17" s="4" t="s">
        <v>26</v>
      </c>
      <c r="AK17" s="4" t="s">
        <v>26</v>
      </c>
    </row>
    <row r="18" spans="1:38" x14ac:dyDescent="0.55000000000000004">
      <c r="A18" t="s">
        <v>166</v>
      </c>
      <c r="B18" t="s">
        <v>41</v>
      </c>
      <c r="D18" s="7" t="s">
        <v>26</v>
      </c>
      <c r="E18" s="7" t="s">
        <v>26</v>
      </c>
      <c r="F18" s="7" t="s">
        <v>26</v>
      </c>
      <c r="G18" s="4" t="s">
        <v>26</v>
      </c>
      <c r="H18" s="7" t="s">
        <v>26</v>
      </c>
      <c r="I18" t="s">
        <v>26</v>
      </c>
      <c r="J18" s="4" t="s">
        <v>26</v>
      </c>
      <c r="K18" s="4" t="s">
        <v>26</v>
      </c>
      <c r="L18" s="4">
        <v>0.51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  <c r="T18" s="7" t="s">
        <v>26</v>
      </c>
      <c r="U18" s="4" t="s">
        <v>26</v>
      </c>
      <c r="V18" s="7" t="s">
        <v>26</v>
      </c>
      <c r="W18" s="4" t="s">
        <v>26</v>
      </c>
      <c r="X18" s="4" t="s">
        <v>26</v>
      </c>
      <c r="Y18" s="4" t="s">
        <v>26</v>
      </c>
      <c r="Z18" s="4">
        <v>600</v>
      </c>
      <c r="AA18" s="4">
        <v>100</v>
      </c>
      <c r="AB18" s="4" t="s">
        <v>26</v>
      </c>
      <c r="AC18" s="4" t="s">
        <v>26</v>
      </c>
      <c r="AD18" s="4">
        <v>18.14</v>
      </c>
      <c r="AE18" s="4" t="s">
        <v>26</v>
      </c>
      <c r="AF18" s="4" t="s">
        <v>26</v>
      </c>
      <c r="AG18" s="4" t="s">
        <v>26</v>
      </c>
      <c r="AH18" s="4" t="s">
        <v>26</v>
      </c>
      <c r="AI18" s="4" t="s">
        <v>26</v>
      </c>
      <c r="AJ18" s="4" t="s">
        <v>26</v>
      </c>
      <c r="AK18" s="4" t="s">
        <v>26</v>
      </c>
    </row>
    <row r="19" spans="1:38" x14ac:dyDescent="0.55000000000000004">
      <c r="A19" t="s">
        <v>167</v>
      </c>
      <c r="B19" t="s">
        <v>42</v>
      </c>
      <c r="D19" s="7" t="s">
        <v>26</v>
      </c>
      <c r="E19" s="7" t="s">
        <v>26</v>
      </c>
      <c r="F19" s="7" t="s">
        <v>26</v>
      </c>
      <c r="G19" s="7" t="s">
        <v>26</v>
      </c>
      <c r="H19" s="7" t="s">
        <v>26</v>
      </c>
      <c r="I19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  <c r="T19" s="7" t="s">
        <v>26</v>
      </c>
      <c r="U19" s="4" t="s">
        <v>26</v>
      </c>
      <c r="V19" s="7" t="s">
        <v>26</v>
      </c>
      <c r="W19" s="4" t="s">
        <v>26</v>
      </c>
      <c r="X19" s="4" t="s">
        <v>26</v>
      </c>
      <c r="Y19" s="4" t="s">
        <v>26</v>
      </c>
      <c r="Z19" s="4" t="s">
        <v>26</v>
      </c>
      <c r="AA19" s="4" t="s">
        <v>26</v>
      </c>
      <c r="AB19" s="4" t="s">
        <v>26</v>
      </c>
      <c r="AC19" s="4" t="s">
        <v>26</v>
      </c>
      <c r="AD19" s="4" t="s">
        <v>26</v>
      </c>
      <c r="AE19" s="4" t="s">
        <v>26</v>
      </c>
      <c r="AF19" s="4" t="s">
        <v>26</v>
      </c>
      <c r="AG19" s="4" t="s">
        <v>26</v>
      </c>
      <c r="AH19" s="4" t="s">
        <v>26</v>
      </c>
      <c r="AI19" s="4" t="s">
        <v>26</v>
      </c>
      <c r="AJ19" s="4" t="s">
        <v>26</v>
      </c>
      <c r="AK19" s="4" t="s">
        <v>26</v>
      </c>
    </row>
    <row r="20" spans="1:38" x14ac:dyDescent="0.55000000000000004">
      <c r="A20" t="s">
        <v>168</v>
      </c>
      <c r="B20" t="s">
        <v>43</v>
      </c>
      <c r="D20" s="7" t="s">
        <v>26</v>
      </c>
      <c r="E20" s="7" t="s">
        <v>26</v>
      </c>
      <c r="F20" s="7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>
        <v>23.701000000000001</v>
      </c>
      <c r="T20" s="7" t="s">
        <v>26</v>
      </c>
      <c r="U20" s="4">
        <v>19100</v>
      </c>
      <c r="V20" s="7" t="s">
        <v>26</v>
      </c>
      <c r="W20" s="4" t="s">
        <v>26</v>
      </c>
      <c r="X20" s="4" t="s">
        <v>26</v>
      </c>
      <c r="Y20" s="4" t="s">
        <v>26</v>
      </c>
      <c r="Z20" s="4" t="s">
        <v>26</v>
      </c>
      <c r="AA20" s="4" t="s">
        <v>26</v>
      </c>
      <c r="AB20" s="4" t="s">
        <v>26</v>
      </c>
      <c r="AC20" s="4" t="s">
        <v>26</v>
      </c>
      <c r="AD20" s="4" t="s">
        <v>26</v>
      </c>
      <c r="AE20" s="4" t="s">
        <v>26</v>
      </c>
      <c r="AF20" s="4" t="s">
        <v>26</v>
      </c>
      <c r="AG20" s="4" t="s">
        <v>26</v>
      </c>
      <c r="AH20" s="4" t="s">
        <v>26</v>
      </c>
      <c r="AI20" s="4" t="s">
        <v>26</v>
      </c>
      <c r="AJ20" s="4" t="s">
        <v>26</v>
      </c>
      <c r="AK20" s="4" t="s">
        <v>26</v>
      </c>
    </row>
    <row r="21" spans="1:38" x14ac:dyDescent="0.55000000000000004">
      <c r="A21" t="s">
        <v>169</v>
      </c>
      <c r="B21" t="s">
        <v>44</v>
      </c>
      <c r="D21" s="4" t="s">
        <v>26</v>
      </c>
      <c r="E21" s="4" t="s">
        <v>26</v>
      </c>
      <c r="F21" s="4">
        <v>5.0599999999999996</v>
      </c>
      <c r="G21" s="7" t="s">
        <v>26</v>
      </c>
      <c r="H21" s="4">
        <v>4.92</v>
      </c>
      <c r="I21" t="s">
        <v>26</v>
      </c>
      <c r="J21" s="4" t="s">
        <v>26</v>
      </c>
      <c r="K21" s="4" t="s">
        <v>26</v>
      </c>
      <c r="L21" s="4">
        <v>0.60099999999999998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  <c r="T21" s="7" t="s">
        <v>26</v>
      </c>
      <c r="U21" s="4" t="s">
        <v>26</v>
      </c>
      <c r="V21" s="7" t="s">
        <v>26</v>
      </c>
      <c r="W21" s="4" t="s">
        <v>26</v>
      </c>
      <c r="X21" s="4" t="s">
        <v>26</v>
      </c>
      <c r="Y21" s="4" t="s">
        <v>26</v>
      </c>
      <c r="Z21" s="4" t="s">
        <v>26</v>
      </c>
      <c r="AA21" s="4" t="s">
        <v>26</v>
      </c>
      <c r="AB21" s="4" t="s">
        <v>26</v>
      </c>
      <c r="AC21" s="4" t="s">
        <v>26</v>
      </c>
      <c r="AD21" s="4" t="s">
        <v>26</v>
      </c>
      <c r="AE21" s="4" t="s">
        <v>26</v>
      </c>
      <c r="AF21" s="4" t="s">
        <v>26</v>
      </c>
      <c r="AG21" s="4" t="s">
        <v>26</v>
      </c>
      <c r="AH21" s="4" t="s">
        <v>26</v>
      </c>
      <c r="AI21" s="4" t="s">
        <v>26</v>
      </c>
      <c r="AJ21" s="4" t="s">
        <v>26</v>
      </c>
      <c r="AK21" s="4" t="s">
        <v>26</v>
      </c>
    </row>
    <row r="22" spans="1:38" x14ac:dyDescent="0.55000000000000004">
      <c r="A22" t="s">
        <v>170</v>
      </c>
      <c r="B22" t="s">
        <v>45</v>
      </c>
      <c r="D22" s="4">
        <v>11.762122598353155</v>
      </c>
      <c r="E22" s="4">
        <v>13.296835119959162</v>
      </c>
      <c r="F22" s="4">
        <v>9.8735870384325555</v>
      </c>
      <c r="G22" s="4">
        <v>23.669076751946605</v>
      </c>
      <c r="H22" s="4">
        <v>8.3415682062298604</v>
      </c>
      <c r="I22" t="s">
        <v>26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7" t="s">
        <v>26</v>
      </c>
      <c r="U22" s="4" t="s">
        <v>26</v>
      </c>
      <c r="V22" s="7" t="s">
        <v>26</v>
      </c>
      <c r="W22" s="4" t="s">
        <v>26</v>
      </c>
      <c r="X22" s="4" t="s">
        <v>26</v>
      </c>
      <c r="Y22" s="4" t="s">
        <v>26</v>
      </c>
      <c r="Z22" s="4" t="s">
        <v>26</v>
      </c>
      <c r="AA22" s="4" t="s">
        <v>26</v>
      </c>
      <c r="AB22" s="4" t="s">
        <v>26</v>
      </c>
      <c r="AC22" s="4" t="s">
        <v>26</v>
      </c>
      <c r="AD22" s="4" t="s">
        <v>26</v>
      </c>
      <c r="AE22" s="4" t="s">
        <v>26</v>
      </c>
      <c r="AF22" s="4" t="s">
        <v>26</v>
      </c>
      <c r="AG22" s="4" t="s">
        <v>26</v>
      </c>
      <c r="AH22" s="4" t="s">
        <v>26</v>
      </c>
      <c r="AI22" s="4" t="s">
        <v>26</v>
      </c>
      <c r="AJ22" s="4" t="s">
        <v>26</v>
      </c>
      <c r="AK22" s="4" t="s">
        <v>26</v>
      </c>
    </row>
    <row r="23" spans="1:38" x14ac:dyDescent="0.55000000000000004">
      <c r="A23" t="s">
        <v>171</v>
      </c>
      <c r="B23" t="s">
        <v>46</v>
      </c>
      <c r="D23" s="4">
        <v>13.570905763952425</v>
      </c>
      <c r="E23" s="4">
        <v>15.732771822358345</v>
      </c>
      <c r="F23" s="4">
        <v>12.2871137905049</v>
      </c>
      <c r="G23" s="4">
        <v>22.322024471635153</v>
      </c>
      <c r="H23" s="4">
        <v>7.4701549792849464</v>
      </c>
      <c r="I23" t="s">
        <v>26</v>
      </c>
      <c r="J23" s="4" t="s">
        <v>26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  <c r="S23" s="4" t="s">
        <v>26</v>
      </c>
      <c r="T23" s="7" t="s">
        <v>26</v>
      </c>
      <c r="U23" s="4" t="s">
        <v>26</v>
      </c>
      <c r="V23" s="7" t="s">
        <v>26</v>
      </c>
      <c r="W23" s="4" t="s">
        <v>26</v>
      </c>
      <c r="X23" s="4" t="s">
        <v>26</v>
      </c>
      <c r="Y23" s="4" t="s">
        <v>26</v>
      </c>
      <c r="Z23" s="4" t="s">
        <v>26</v>
      </c>
      <c r="AA23" s="4" t="s">
        <v>26</v>
      </c>
      <c r="AB23" s="4" t="s">
        <v>26</v>
      </c>
      <c r="AC23" s="4" t="s">
        <v>26</v>
      </c>
      <c r="AD23" s="4" t="s">
        <v>26</v>
      </c>
      <c r="AE23" s="4" t="s">
        <v>26</v>
      </c>
      <c r="AF23" s="4" t="s">
        <v>26</v>
      </c>
      <c r="AG23" s="4" t="s">
        <v>26</v>
      </c>
      <c r="AH23" s="4" t="s">
        <v>26</v>
      </c>
      <c r="AI23" s="4" t="s">
        <v>26</v>
      </c>
      <c r="AJ23" s="4" t="s">
        <v>26</v>
      </c>
      <c r="AK23" s="4" t="s">
        <v>26</v>
      </c>
    </row>
    <row r="24" spans="1:38" x14ac:dyDescent="0.55000000000000004">
      <c r="A24" t="s">
        <v>172</v>
      </c>
      <c r="B24" t="s">
        <v>73</v>
      </c>
      <c r="D24" s="4">
        <v>12.803522415370541</v>
      </c>
      <c r="E24" s="4">
        <v>14.686830015313934</v>
      </c>
      <c r="F24" s="4">
        <v>8.0126224566691793</v>
      </c>
      <c r="G24" s="4">
        <v>7.7041156840934377</v>
      </c>
      <c r="H24" s="4">
        <v>7.6145465705079012</v>
      </c>
      <c r="I24" t="s">
        <v>26</v>
      </c>
      <c r="J24" s="4" t="s">
        <v>26</v>
      </c>
      <c r="K24" s="4" t="s">
        <v>26</v>
      </c>
      <c r="L24" s="4">
        <v>1.281663516068053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7" t="s">
        <v>26</v>
      </c>
      <c r="U24" s="4" t="s">
        <v>26</v>
      </c>
      <c r="V24" s="7" t="s">
        <v>26</v>
      </c>
      <c r="W24" s="4" t="s">
        <v>26</v>
      </c>
      <c r="X24" s="4" t="s">
        <v>26</v>
      </c>
      <c r="Y24" s="4" t="s">
        <v>26</v>
      </c>
      <c r="Z24" s="4" t="s">
        <v>26</v>
      </c>
      <c r="AA24" s="4" t="s">
        <v>26</v>
      </c>
      <c r="AB24" s="4" t="s">
        <v>26</v>
      </c>
      <c r="AC24" s="4" t="s">
        <v>26</v>
      </c>
      <c r="AD24" s="4" t="s">
        <v>26</v>
      </c>
      <c r="AE24" s="4" t="s">
        <v>26</v>
      </c>
      <c r="AF24" s="4" t="s">
        <v>26</v>
      </c>
      <c r="AG24" s="4" t="s">
        <v>26</v>
      </c>
      <c r="AH24" s="4" t="s">
        <v>26</v>
      </c>
      <c r="AI24" s="4" t="s">
        <v>26</v>
      </c>
      <c r="AJ24" s="4" t="s">
        <v>26</v>
      </c>
      <c r="AK24" s="4" t="s">
        <v>26</v>
      </c>
    </row>
    <row r="25" spans="1:38" x14ac:dyDescent="0.55000000000000004">
      <c r="A25" t="s">
        <v>173</v>
      </c>
      <c r="B25" t="s">
        <v>47</v>
      </c>
      <c r="D25" s="4">
        <v>11.39935956084172</v>
      </c>
      <c r="E25" s="4">
        <v>14.85273098519653</v>
      </c>
      <c r="F25" s="4">
        <v>9.5985305199698558</v>
      </c>
      <c r="G25" s="4">
        <v>8.508898776418242</v>
      </c>
      <c r="H25" s="4">
        <v>7.0676691729323302</v>
      </c>
      <c r="I25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7" t="s">
        <v>26</v>
      </c>
      <c r="U25" s="4" t="s">
        <v>26</v>
      </c>
      <c r="V25" s="7" t="s">
        <v>26</v>
      </c>
      <c r="W25" s="4" t="s">
        <v>26</v>
      </c>
      <c r="X25" s="4" t="s">
        <v>26</v>
      </c>
      <c r="Y25" s="4" t="s">
        <v>26</v>
      </c>
      <c r="Z25" s="4" t="s">
        <v>26</v>
      </c>
      <c r="AA25" s="4" t="s">
        <v>26</v>
      </c>
      <c r="AB25" s="4" t="s">
        <v>26</v>
      </c>
      <c r="AC25" s="4" t="s">
        <v>26</v>
      </c>
      <c r="AD25" s="4" t="s">
        <v>26</v>
      </c>
      <c r="AE25" s="4" t="s">
        <v>26</v>
      </c>
      <c r="AF25" s="4" t="s">
        <v>26</v>
      </c>
      <c r="AG25" s="4" t="s">
        <v>26</v>
      </c>
      <c r="AH25" s="4" t="s">
        <v>26</v>
      </c>
      <c r="AI25" s="4" t="s">
        <v>26</v>
      </c>
      <c r="AJ25" s="4" t="s">
        <v>26</v>
      </c>
      <c r="AK25" s="4" t="s">
        <v>26</v>
      </c>
    </row>
    <row r="26" spans="1:38" x14ac:dyDescent="0.55000000000000004">
      <c r="A26" t="s">
        <v>163</v>
      </c>
      <c r="B26" t="s">
        <v>48</v>
      </c>
      <c r="D26" s="4">
        <v>8.260064043915829</v>
      </c>
      <c r="E26" s="4">
        <v>15.940020418580909</v>
      </c>
      <c r="F26" s="4">
        <v>9.8685003767897506</v>
      </c>
      <c r="G26" s="4">
        <v>11.268631813125694</v>
      </c>
      <c r="H26" s="4">
        <v>8.3586005830903787</v>
      </c>
      <c r="I26" t="s">
        <v>26</v>
      </c>
      <c r="J26" s="4" t="s">
        <v>26</v>
      </c>
      <c r="K26" s="4" t="s">
        <v>26</v>
      </c>
      <c r="L26" s="4">
        <v>0.63895000000000002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7" t="s">
        <v>26</v>
      </c>
      <c r="U26" s="4" t="s">
        <v>26</v>
      </c>
      <c r="V26" s="7" t="s">
        <v>26</v>
      </c>
      <c r="W26" s="4" t="s">
        <v>26</v>
      </c>
      <c r="X26" s="4" t="s">
        <v>26</v>
      </c>
      <c r="Y26" s="4" t="s">
        <v>26</v>
      </c>
      <c r="Z26" s="4" t="s">
        <v>26</v>
      </c>
      <c r="AA26" s="4" t="s">
        <v>26</v>
      </c>
      <c r="AB26" s="4" t="s">
        <v>26</v>
      </c>
      <c r="AC26" s="4" t="s">
        <v>26</v>
      </c>
      <c r="AD26" s="4" t="s">
        <v>26</v>
      </c>
      <c r="AE26" s="4" t="s">
        <v>26</v>
      </c>
      <c r="AF26" s="4" t="s">
        <v>26</v>
      </c>
      <c r="AG26" s="4" t="s">
        <v>26</v>
      </c>
      <c r="AH26" s="4" t="s">
        <v>26</v>
      </c>
      <c r="AI26" s="4" t="s">
        <v>26</v>
      </c>
      <c r="AJ26" s="4" t="s">
        <v>26</v>
      </c>
      <c r="AK26" s="4" t="s">
        <v>26</v>
      </c>
    </row>
    <row r="27" spans="1:38" x14ac:dyDescent="0.55000000000000004">
      <c r="A27" t="s">
        <v>174</v>
      </c>
      <c r="B27" t="s">
        <v>49</v>
      </c>
      <c r="D27" s="4">
        <v>11.721180237877402</v>
      </c>
      <c r="E27" s="4">
        <v>14.918580908626849</v>
      </c>
      <c r="F27" s="4">
        <v>7.8449510173323276</v>
      </c>
      <c r="G27" s="4">
        <v>8.2619577308120125</v>
      </c>
      <c r="H27" s="4">
        <v>9.926960257787325</v>
      </c>
      <c r="I27" t="s">
        <v>26</v>
      </c>
      <c r="J27" s="4" t="s">
        <v>26</v>
      </c>
      <c r="K27" s="4" t="s">
        <v>26</v>
      </c>
      <c r="L27" s="4">
        <v>1.2731568998109641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7" t="s">
        <v>26</v>
      </c>
      <c r="U27" s="4" t="s">
        <v>26</v>
      </c>
      <c r="V27" s="7" t="s">
        <v>26</v>
      </c>
      <c r="W27" s="4" t="s">
        <v>26</v>
      </c>
      <c r="X27" s="4" t="s">
        <v>26</v>
      </c>
      <c r="Y27" s="4" t="s">
        <v>26</v>
      </c>
      <c r="Z27" s="4" t="s">
        <v>26</v>
      </c>
      <c r="AA27" s="4" t="s">
        <v>26</v>
      </c>
      <c r="AB27" s="4" t="s">
        <v>26</v>
      </c>
      <c r="AC27" s="4" t="s">
        <v>26</v>
      </c>
      <c r="AD27" s="4" t="s">
        <v>26</v>
      </c>
      <c r="AE27" s="4" t="s">
        <v>26</v>
      </c>
      <c r="AF27" s="4" t="s">
        <v>26</v>
      </c>
      <c r="AG27" s="4" t="s">
        <v>26</v>
      </c>
      <c r="AH27" s="4" t="s">
        <v>26</v>
      </c>
      <c r="AI27" s="4" t="s">
        <v>26</v>
      </c>
      <c r="AJ27" s="4" t="s">
        <v>26</v>
      </c>
      <c r="AK27" s="4" t="s">
        <v>26</v>
      </c>
    </row>
    <row r="28" spans="1:38" x14ac:dyDescent="0.55000000000000004">
      <c r="A28" s="5" t="s">
        <v>175</v>
      </c>
      <c r="B28" s="5" t="s">
        <v>74</v>
      </c>
      <c r="C28" s="5"/>
      <c r="D28" s="6" t="s">
        <v>26</v>
      </c>
      <c r="E28" s="6" t="s">
        <v>26</v>
      </c>
      <c r="F28" s="6" t="s">
        <v>26</v>
      </c>
      <c r="G28" s="9">
        <v>1.9</v>
      </c>
      <c r="H28" s="6" t="s">
        <v>26</v>
      </c>
      <c r="I28" s="5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6" t="s">
        <v>26</v>
      </c>
      <c r="Q28" s="6">
        <v>200</v>
      </c>
      <c r="R28" s="6" t="s">
        <v>26</v>
      </c>
      <c r="S28" s="6" t="s">
        <v>26</v>
      </c>
      <c r="T28" s="9" t="s">
        <v>26</v>
      </c>
      <c r="U28" s="6" t="s">
        <v>26</v>
      </c>
      <c r="V28" s="9" t="s">
        <v>26</v>
      </c>
      <c r="W28" s="6" t="s">
        <v>26</v>
      </c>
      <c r="X28" s="6" t="s">
        <v>26</v>
      </c>
      <c r="Y28" s="6" t="s">
        <v>26</v>
      </c>
      <c r="Z28" s="6" t="s">
        <v>26</v>
      </c>
      <c r="AA28" s="6" t="s">
        <v>26</v>
      </c>
      <c r="AB28" s="6" t="s">
        <v>26</v>
      </c>
      <c r="AC28" s="6" t="s">
        <v>26</v>
      </c>
      <c r="AD28" s="6" t="s">
        <v>26</v>
      </c>
      <c r="AE28" s="6" t="s">
        <v>26</v>
      </c>
      <c r="AF28" s="6" t="s">
        <v>26</v>
      </c>
      <c r="AG28" s="6" t="s">
        <v>26</v>
      </c>
      <c r="AH28" s="6" t="s">
        <v>26</v>
      </c>
      <c r="AI28" s="6" t="s">
        <v>26</v>
      </c>
      <c r="AJ28" s="6" t="s">
        <v>26</v>
      </c>
      <c r="AK28" s="6">
        <v>10.9</v>
      </c>
      <c r="AL28" s="5"/>
    </row>
    <row r="29" spans="1:38" x14ac:dyDescent="0.55000000000000004">
      <c r="A29" s="5" t="s">
        <v>177</v>
      </c>
      <c r="B29" s="5" t="s">
        <v>47</v>
      </c>
      <c r="C29" s="5"/>
      <c r="D29" s="6">
        <v>11.4</v>
      </c>
      <c r="E29" s="6">
        <v>9.6</v>
      </c>
      <c r="F29" s="6">
        <v>14.9</v>
      </c>
      <c r="G29" s="6">
        <v>8.5</v>
      </c>
      <c r="H29" s="6">
        <v>7.1</v>
      </c>
      <c r="I29" s="5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6" t="s">
        <v>26</v>
      </c>
      <c r="Q29" s="6" t="s">
        <v>26</v>
      </c>
      <c r="R29" s="6" t="s">
        <v>26</v>
      </c>
      <c r="S29" s="6" t="s">
        <v>26</v>
      </c>
      <c r="T29" s="9" t="s">
        <v>26</v>
      </c>
      <c r="U29" s="6" t="s">
        <v>26</v>
      </c>
      <c r="V29" s="9" t="s">
        <v>26</v>
      </c>
      <c r="W29" s="6" t="s">
        <v>26</v>
      </c>
      <c r="X29" s="6" t="s">
        <v>26</v>
      </c>
      <c r="Y29" s="6" t="s">
        <v>26</v>
      </c>
      <c r="Z29" s="6" t="s">
        <v>26</v>
      </c>
      <c r="AA29" s="6" t="s">
        <v>26</v>
      </c>
      <c r="AB29" s="6" t="s">
        <v>26</v>
      </c>
      <c r="AC29" s="6" t="s">
        <v>26</v>
      </c>
      <c r="AD29" s="6" t="s">
        <v>26</v>
      </c>
      <c r="AE29" s="6" t="s">
        <v>26</v>
      </c>
      <c r="AF29" s="6" t="s">
        <v>26</v>
      </c>
      <c r="AG29" s="6" t="s">
        <v>26</v>
      </c>
      <c r="AH29" s="6" t="s">
        <v>26</v>
      </c>
      <c r="AI29" s="6" t="s">
        <v>26</v>
      </c>
      <c r="AJ29" s="6" t="s">
        <v>26</v>
      </c>
      <c r="AK29" s="6" t="s">
        <v>26</v>
      </c>
      <c r="AL29" s="5"/>
    </row>
    <row r="30" spans="1:38" x14ac:dyDescent="0.55000000000000004">
      <c r="A30" t="s">
        <v>176</v>
      </c>
      <c r="B30" t="s">
        <v>50</v>
      </c>
      <c r="D30" s="4" t="s">
        <v>26</v>
      </c>
      <c r="E30" s="7" t="s">
        <v>26</v>
      </c>
      <c r="F30" s="4" t="s">
        <v>26</v>
      </c>
      <c r="G30" s="4" t="s">
        <v>26</v>
      </c>
      <c r="H30" s="4">
        <v>11.38</v>
      </c>
      <c r="I30" t="s">
        <v>26</v>
      </c>
      <c r="J30" s="4">
        <v>100</v>
      </c>
      <c r="K30" s="4">
        <v>100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>
        <v>300</v>
      </c>
      <c r="R30" s="4" t="s">
        <v>26</v>
      </c>
      <c r="S30" s="4" t="s">
        <v>26</v>
      </c>
      <c r="T30" s="7" t="s">
        <v>26</v>
      </c>
      <c r="U30" s="4" t="s">
        <v>26</v>
      </c>
      <c r="V30" s="7" t="s">
        <v>26</v>
      </c>
      <c r="W30" s="4">
        <v>13.73</v>
      </c>
      <c r="X30" s="4" t="s">
        <v>26</v>
      </c>
      <c r="Y30" s="4" t="s">
        <v>26</v>
      </c>
      <c r="Z30" s="4" t="s">
        <v>26</v>
      </c>
      <c r="AA30" s="4" t="s">
        <v>26</v>
      </c>
      <c r="AB30" s="4" t="s">
        <v>26</v>
      </c>
      <c r="AC30" s="4" t="s">
        <v>26</v>
      </c>
      <c r="AD30" s="4" t="s">
        <v>26</v>
      </c>
      <c r="AE30" s="4" t="s">
        <v>26</v>
      </c>
      <c r="AF30" s="4" t="s">
        <v>26</v>
      </c>
      <c r="AG30" s="4" t="s">
        <v>26</v>
      </c>
      <c r="AH30" s="4" t="s">
        <v>26</v>
      </c>
      <c r="AI30" s="4" t="s">
        <v>26</v>
      </c>
      <c r="AJ30" s="4" t="s">
        <v>26</v>
      </c>
      <c r="AK30" s="4">
        <v>3.56</v>
      </c>
    </row>
    <row r="31" spans="1:38" x14ac:dyDescent="0.55000000000000004">
      <c r="A31" t="s">
        <v>178</v>
      </c>
      <c r="B31" t="s">
        <v>51</v>
      </c>
      <c r="D31" s="4" t="s">
        <v>26</v>
      </c>
      <c r="E31" s="4" t="s">
        <v>26</v>
      </c>
      <c r="F31" s="4" t="s">
        <v>26</v>
      </c>
      <c r="G31" s="4">
        <v>2.16</v>
      </c>
      <c r="H31" s="4">
        <v>7.6</v>
      </c>
      <c r="I31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7" t="s">
        <v>26</v>
      </c>
      <c r="U31" s="4" t="s">
        <v>26</v>
      </c>
      <c r="V31" s="7" t="s">
        <v>26</v>
      </c>
      <c r="W31" s="4" t="s">
        <v>26</v>
      </c>
      <c r="X31" s="4" t="s">
        <v>26</v>
      </c>
      <c r="Y31" s="4" t="s">
        <v>26</v>
      </c>
      <c r="Z31" s="4" t="s">
        <v>26</v>
      </c>
      <c r="AA31" s="4" t="s">
        <v>26</v>
      </c>
      <c r="AB31" s="4" t="s">
        <v>26</v>
      </c>
      <c r="AC31" s="4" t="s">
        <v>26</v>
      </c>
      <c r="AD31" s="4" t="s">
        <v>26</v>
      </c>
      <c r="AE31" s="4" t="s">
        <v>26</v>
      </c>
      <c r="AF31" s="4" t="s">
        <v>26</v>
      </c>
      <c r="AG31" s="4" t="s">
        <v>26</v>
      </c>
      <c r="AH31" s="4" t="s">
        <v>26</v>
      </c>
      <c r="AI31" s="4" t="s">
        <v>26</v>
      </c>
      <c r="AJ31" s="4" t="s">
        <v>26</v>
      </c>
      <c r="AK31" s="4" t="s">
        <v>26</v>
      </c>
    </row>
    <row r="32" spans="1:38" x14ac:dyDescent="0.55000000000000004">
      <c r="A32" t="s">
        <v>179</v>
      </c>
      <c r="B32" t="s">
        <v>52</v>
      </c>
      <c r="D32" s="4" t="s">
        <v>26</v>
      </c>
      <c r="E32" s="4" t="s">
        <v>26</v>
      </c>
      <c r="F32" s="4" t="s">
        <v>26</v>
      </c>
      <c r="G32" s="4" t="s">
        <v>26</v>
      </c>
      <c r="H32" s="4">
        <v>73.099999999999994</v>
      </c>
      <c r="I32" t="s">
        <v>26</v>
      </c>
      <c r="J32" s="4"/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>
        <v>2300</v>
      </c>
      <c r="R32" s="4" t="s">
        <v>26</v>
      </c>
      <c r="S32" s="4" t="s">
        <v>26</v>
      </c>
      <c r="T32" s="7" t="s">
        <v>26</v>
      </c>
      <c r="U32" s="4" t="s">
        <v>26</v>
      </c>
      <c r="V32" s="7" t="s">
        <v>26</v>
      </c>
      <c r="W32" s="4">
        <v>51.57</v>
      </c>
      <c r="X32" s="4" t="s">
        <v>26</v>
      </c>
      <c r="Y32" s="4" t="s">
        <v>26</v>
      </c>
      <c r="Z32" s="4" t="s">
        <v>26</v>
      </c>
      <c r="AA32" s="4" t="s">
        <v>26</v>
      </c>
      <c r="AB32" s="4" t="s">
        <v>26</v>
      </c>
      <c r="AC32" s="4" t="s">
        <v>26</v>
      </c>
      <c r="AD32" s="4">
        <v>10.5</v>
      </c>
      <c r="AE32" s="4" t="s">
        <v>26</v>
      </c>
      <c r="AF32" s="4" t="s">
        <v>26</v>
      </c>
      <c r="AG32" s="4" t="s">
        <v>26</v>
      </c>
      <c r="AH32" s="4" t="s">
        <v>26</v>
      </c>
      <c r="AI32" s="4">
        <v>24.55</v>
      </c>
      <c r="AJ32" s="4" t="s">
        <v>26</v>
      </c>
      <c r="AK32" s="4" t="s">
        <v>26</v>
      </c>
    </row>
    <row r="33" spans="1:37" x14ac:dyDescent="0.55000000000000004">
      <c r="A33" t="s">
        <v>180</v>
      </c>
      <c r="B33" t="s">
        <v>53</v>
      </c>
      <c r="D33" s="4" t="s">
        <v>26</v>
      </c>
      <c r="E33" s="4" t="s">
        <v>26</v>
      </c>
      <c r="F33" s="4" t="s">
        <v>26</v>
      </c>
      <c r="G33" s="4" t="s">
        <v>26</v>
      </c>
      <c r="H33" s="4" t="s">
        <v>26</v>
      </c>
      <c r="I33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  <c r="S33" s="4" t="s">
        <v>26</v>
      </c>
      <c r="T33" s="7" t="s">
        <v>26</v>
      </c>
      <c r="U33" s="4" t="s">
        <v>26</v>
      </c>
      <c r="V33" s="7" t="s">
        <v>26</v>
      </c>
      <c r="W33" s="4" t="s">
        <v>26</v>
      </c>
      <c r="X33" s="4" t="s">
        <v>26</v>
      </c>
      <c r="Y33" s="4" t="s">
        <v>26</v>
      </c>
      <c r="Z33" s="4" t="s">
        <v>26</v>
      </c>
      <c r="AA33" s="4" t="s">
        <v>26</v>
      </c>
      <c r="AB33" s="4" t="s">
        <v>26</v>
      </c>
      <c r="AC33" s="4" t="s">
        <v>26</v>
      </c>
      <c r="AD33" s="4" t="s">
        <v>26</v>
      </c>
      <c r="AE33" s="4" t="s">
        <v>26</v>
      </c>
      <c r="AF33" s="7" t="s">
        <v>26</v>
      </c>
      <c r="AG33" s="4" t="s">
        <v>26</v>
      </c>
      <c r="AH33" s="4" t="s">
        <v>26</v>
      </c>
      <c r="AI33" s="4" t="s">
        <v>26</v>
      </c>
      <c r="AJ33" s="4" t="s">
        <v>26</v>
      </c>
      <c r="AK33" s="4" t="s">
        <v>26</v>
      </c>
    </row>
    <row r="34" spans="1:37" x14ac:dyDescent="0.55000000000000004">
      <c r="A34" t="s">
        <v>181</v>
      </c>
      <c r="B34" t="s">
        <v>55</v>
      </c>
      <c r="D34" s="4" t="s">
        <v>26</v>
      </c>
      <c r="E34" s="4" t="s">
        <v>26</v>
      </c>
      <c r="F34" s="4" t="s">
        <v>26</v>
      </c>
      <c r="G34" s="4">
        <v>6.74</v>
      </c>
      <c r="H34" s="4" t="s">
        <v>26</v>
      </c>
      <c r="I3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  <c r="S34" s="4" t="s">
        <v>26</v>
      </c>
      <c r="T34" s="7" t="s">
        <v>26</v>
      </c>
      <c r="U34" s="4" t="s">
        <v>26</v>
      </c>
      <c r="V34" s="7" t="s">
        <v>26</v>
      </c>
      <c r="W34" s="4" t="s">
        <v>26</v>
      </c>
      <c r="X34" s="4" t="s">
        <v>26</v>
      </c>
      <c r="Y34" s="4" t="s">
        <v>26</v>
      </c>
      <c r="Z34" s="4" t="s">
        <v>26</v>
      </c>
      <c r="AA34" s="4" t="s">
        <v>26</v>
      </c>
      <c r="AB34" s="4" t="s">
        <v>26</v>
      </c>
      <c r="AC34" s="4" t="s">
        <v>26</v>
      </c>
      <c r="AD34" s="4" t="s">
        <v>26</v>
      </c>
      <c r="AE34" s="4" t="s">
        <v>26</v>
      </c>
      <c r="AF34" s="4" t="s">
        <v>26</v>
      </c>
      <c r="AG34" s="4" t="s">
        <v>26</v>
      </c>
      <c r="AH34" s="4" t="s">
        <v>26</v>
      </c>
      <c r="AI34" s="4" t="s">
        <v>26</v>
      </c>
      <c r="AJ34" s="4" t="s">
        <v>26</v>
      </c>
      <c r="AK34" s="4" t="s">
        <v>26</v>
      </c>
    </row>
    <row r="35" spans="1:37" x14ac:dyDescent="0.55000000000000004">
      <c r="A35" t="s">
        <v>182</v>
      </c>
      <c r="B35" t="s">
        <v>54</v>
      </c>
      <c r="D35" s="4" t="s">
        <v>26</v>
      </c>
      <c r="E35" s="4" t="s">
        <v>26</v>
      </c>
      <c r="F35" s="4" t="s">
        <v>26</v>
      </c>
      <c r="G35" s="4" t="s">
        <v>26</v>
      </c>
      <c r="H35" s="4" t="s">
        <v>26</v>
      </c>
      <c r="I35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  <c r="S35" s="4" t="s">
        <v>26</v>
      </c>
      <c r="T35" s="7" t="s">
        <v>26</v>
      </c>
      <c r="U35" s="4" t="s">
        <v>26</v>
      </c>
      <c r="V35" s="7" t="s">
        <v>26</v>
      </c>
      <c r="W35" s="4" t="s">
        <v>26</v>
      </c>
      <c r="X35" s="4" t="s">
        <v>26</v>
      </c>
      <c r="Y35" s="4" t="s">
        <v>26</v>
      </c>
      <c r="Z35" s="4" t="s">
        <v>26</v>
      </c>
      <c r="AA35" s="4" t="s">
        <v>26</v>
      </c>
      <c r="AB35" s="4" t="s">
        <v>26</v>
      </c>
      <c r="AC35" s="4" t="s">
        <v>26</v>
      </c>
      <c r="AD35" s="4" t="s">
        <v>26</v>
      </c>
      <c r="AE35" s="4" t="s">
        <v>26</v>
      </c>
      <c r="AF35" s="4" t="s">
        <v>26</v>
      </c>
      <c r="AG35" s="4" t="s">
        <v>26</v>
      </c>
      <c r="AH35" s="4" t="s">
        <v>26</v>
      </c>
      <c r="AI35" s="4" t="s">
        <v>26</v>
      </c>
      <c r="AJ35" s="4" t="s">
        <v>26</v>
      </c>
      <c r="AK35" s="4" t="s">
        <v>26</v>
      </c>
    </row>
    <row r="36" spans="1:37" x14ac:dyDescent="0.55000000000000004">
      <c r="A36" t="s">
        <v>183</v>
      </c>
      <c r="B36" t="s">
        <v>56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t="s">
        <v>26</v>
      </c>
      <c r="J36" s="4">
        <v>700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7" t="s">
        <v>26</v>
      </c>
      <c r="U36" s="4" t="s">
        <v>26</v>
      </c>
      <c r="V36" s="7" t="s">
        <v>26</v>
      </c>
      <c r="W36" s="4" t="s">
        <v>26</v>
      </c>
      <c r="X36" s="4" t="s">
        <v>26</v>
      </c>
      <c r="Y36" s="4" t="s">
        <v>26</v>
      </c>
      <c r="Z36" s="4" t="s">
        <v>26</v>
      </c>
      <c r="AA36" s="4" t="s">
        <v>26</v>
      </c>
      <c r="AB36" s="4" t="s">
        <v>26</v>
      </c>
      <c r="AC36" s="4" t="s">
        <v>26</v>
      </c>
      <c r="AD36" s="4" t="s">
        <v>26</v>
      </c>
      <c r="AE36" s="4" t="s">
        <v>26</v>
      </c>
      <c r="AF36" s="4" t="s">
        <v>26</v>
      </c>
      <c r="AG36" s="4" t="s">
        <v>26</v>
      </c>
      <c r="AH36" s="4" t="s">
        <v>26</v>
      </c>
      <c r="AI36" s="4" t="s">
        <v>26</v>
      </c>
      <c r="AJ36" s="4" t="s">
        <v>26</v>
      </c>
      <c r="AK36" s="4" t="s">
        <v>26</v>
      </c>
    </row>
    <row r="37" spans="1:37" x14ac:dyDescent="0.55000000000000004">
      <c r="A37" t="s">
        <v>184</v>
      </c>
      <c r="B37" t="s">
        <v>57</v>
      </c>
      <c r="D37" s="4" t="s">
        <v>26</v>
      </c>
      <c r="E37" s="4" t="s">
        <v>26</v>
      </c>
      <c r="F37" s="4">
        <v>8.31</v>
      </c>
      <c r="G37" s="4">
        <v>5.17</v>
      </c>
      <c r="H37" s="4">
        <v>16.25</v>
      </c>
      <c r="I37" t="s">
        <v>26</v>
      </c>
      <c r="J37" s="4" t="s">
        <v>26</v>
      </c>
      <c r="K37" s="4" t="s">
        <v>26</v>
      </c>
      <c r="L37" s="4">
        <v>0.76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  <c r="S37" s="4" t="s">
        <v>26</v>
      </c>
      <c r="T37" s="7" t="s">
        <v>26</v>
      </c>
      <c r="U37" s="4" t="s">
        <v>26</v>
      </c>
      <c r="V37" s="7" t="s">
        <v>26</v>
      </c>
      <c r="W37" s="4" t="s">
        <v>26</v>
      </c>
      <c r="X37" s="4" t="s">
        <v>26</v>
      </c>
      <c r="Y37" s="4" t="s">
        <v>26</v>
      </c>
      <c r="Z37" s="4" t="s">
        <v>26</v>
      </c>
      <c r="AA37" s="4" t="s">
        <v>26</v>
      </c>
      <c r="AB37" s="4" t="s">
        <v>26</v>
      </c>
      <c r="AC37" s="7" t="s">
        <v>26</v>
      </c>
      <c r="AD37" s="4" t="s">
        <v>26</v>
      </c>
      <c r="AE37" s="4" t="s">
        <v>26</v>
      </c>
      <c r="AF37" s="4" t="s">
        <v>26</v>
      </c>
      <c r="AG37" s="4" t="s">
        <v>26</v>
      </c>
      <c r="AH37" s="4" t="s">
        <v>26</v>
      </c>
      <c r="AI37" s="4" t="s">
        <v>26</v>
      </c>
      <c r="AJ37" s="4">
        <v>6</v>
      </c>
      <c r="AK37" s="4" t="s">
        <v>26</v>
      </c>
    </row>
    <row r="38" spans="1:37" x14ac:dyDescent="0.55000000000000004">
      <c r="A38" t="s">
        <v>185</v>
      </c>
      <c r="B38" t="s">
        <v>58</v>
      </c>
      <c r="D38" s="4">
        <v>38.847000000000001</v>
      </c>
      <c r="E38" s="4">
        <v>17.632000000000001</v>
      </c>
      <c r="F38" s="4">
        <v>55.076999999999998</v>
      </c>
      <c r="G38" s="4">
        <v>27.663</v>
      </c>
      <c r="H38" s="4">
        <v>10.986000000000001</v>
      </c>
      <c r="I38" s="2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  <c r="S38" s="4" t="s">
        <v>26</v>
      </c>
      <c r="T38" s="7" t="s">
        <v>26</v>
      </c>
      <c r="U38" s="4" t="s">
        <v>26</v>
      </c>
      <c r="V38" s="7" t="s">
        <v>26</v>
      </c>
      <c r="W38" s="4" t="s">
        <v>26</v>
      </c>
      <c r="X38" s="4" t="s">
        <v>26</v>
      </c>
      <c r="Y38" s="4" t="s">
        <v>26</v>
      </c>
      <c r="Z38" s="4" t="s">
        <v>26</v>
      </c>
      <c r="AA38" s="4" t="s">
        <v>26</v>
      </c>
      <c r="AB38" s="4" t="s">
        <v>26</v>
      </c>
      <c r="AC38" s="4" t="s">
        <v>26</v>
      </c>
      <c r="AD38" s="4" t="s">
        <v>26</v>
      </c>
      <c r="AE38" s="4" t="s">
        <v>26</v>
      </c>
      <c r="AF38" s="4" t="s">
        <v>26</v>
      </c>
      <c r="AG38" s="4" t="s">
        <v>26</v>
      </c>
      <c r="AH38" s="4" t="s">
        <v>26</v>
      </c>
      <c r="AI38" s="4" t="s">
        <v>26</v>
      </c>
      <c r="AJ38" s="4" t="s">
        <v>26</v>
      </c>
      <c r="AK38" s="4" t="s">
        <v>26</v>
      </c>
    </row>
    <row r="39" spans="1:37" x14ac:dyDescent="0.55000000000000004">
      <c r="A39" t="s">
        <v>186</v>
      </c>
      <c r="B39" t="s">
        <v>59</v>
      </c>
      <c r="D39" s="4" t="s">
        <v>26</v>
      </c>
      <c r="E39" s="4" t="s">
        <v>26</v>
      </c>
      <c r="F39" s="4" t="s">
        <v>26</v>
      </c>
      <c r="G39" s="4" t="s">
        <v>26</v>
      </c>
      <c r="H39" s="4" t="s">
        <v>26</v>
      </c>
      <c r="I39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  <c r="S39" s="4" t="s">
        <v>26</v>
      </c>
      <c r="T39" s="7" t="s">
        <v>26</v>
      </c>
      <c r="U39" s="4" t="s">
        <v>26</v>
      </c>
      <c r="V39" s="7" t="s">
        <v>26</v>
      </c>
      <c r="W39" s="4" t="s">
        <v>26</v>
      </c>
      <c r="X39" s="4" t="s">
        <v>26</v>
      </c>
      <c r="Y39" s="4" t="s">
        <v>26</v>
      </c>
      <c r="Z39" s="4" t="s">
        <v>26</v>
      </c>
      <c r="AA39" s="4" t="s">
        <v>26</v>
      </c>
      <c r="AB39" s="4" t="s">
        <v>26</v>
      </c>
      <c r="AC39" s="4" t="s">
        <v>26</v>
      </c>
      <c r="AD39" s="4" t="s">
        <v>26</v>
      </c>
      <c r="AE39" s="4" t="s">
        <v>26</v>
      </c>
      <c r="AF39" s="4" t="s">
        <v>26</v>
      </c>
      <c r="AG39" s="4" t="s">
        <v>26</v>
      </c>
      <c r="AH39" s="4" t="s">
        <v>26</v>
      </c>
      <c r="AI39" s="4" t="s">
        <v>26</v>
      </c>
      <c r="AJ39" s="4" t="s">
        <v>26</v>
      </c>
      <c r="AK39" s="4" t="s">
        <v>26</v>
      </c>
    </row>
    <row r="40" spans="1:37" x14ac:dyDescent="0.55000000000000004">
      <c r="A40" t="s">
        <v>187</v>
      </c>
      <c r="B40" t="s">
        <v>60</v>
      </c>
      <c r="D40" s="4" t="s">
        <v>26</v>
      </c>
      <c r="E40" s="4" t="s">
        <v>26</v>
      </c>
      <c r="F40" s="4">
        <v>14.78</v>
      </c>
      <c r="G40" s="4" t="s">
        <v>26</v>
      </c>
      <c r="H40" s="4">
        <v>22.8</v>
      </c>
      <c r="I40" t="s">
        <v>26</v>
      </c>
      <c r="J40" s="4" t="s">
        <v>26</v>
      </c>
      <c r="K40" s="4" t="s">
        <v>26</v>
      </c>
      <c r="L40" s="4" t="s">
        <v>26</v>
      </c>
      <c r="M40" s="4" t="s">
        <v>233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  <c r="S40" s="4" t="s">
        <v>26</v>
      </c>
      <c r="T40" s="7" t="s">
        <v>26</v>
      </c>
      <c r="U40" s="4" t="s">
        <v>26</v>
      </c>
      <c r="V40" s="7" t="s">
        <v>26</v>
      </c>
      <c r="W40" s="4" t="s">
        <v>26</v>
      </c>
      <c r="X40" s="4" t="s">
        <v>26</v>
      </c>
      <c r="Y40" s="4" t="s">
        <v>26</v>
      </c>
      <c r="Z40" s="4" t="s">
        <v>26</v>
      </c>
      <c r="AA40" s="4" t="s">
        <v>26</v>
      </c>
      <c r="AB40" s="4" t="s">
        <v>26</v>
      </c>
      <c r="AC40" s="4" t="s">
        <v>26</v>
      </c>
      <c r="AD40" s="4" t="s">
        <v>26</v>
      </c>
      <c r="AE40" s="4" t="s">
        <v>26</v>
      </c>
      <c r="AF40" s="4" t="s">
        <v>26</v>
      </c>
      <c r="AG40" s="4" t="s">
        <v>26</v>
      </c>
      <c r="AH40" s="4" t="s">
        <v>26</v>
      </c>
      <c r="AI40" s="4" t="s">
        <v>26</v>
      </c>
      <c r="AJ40" s="4" t="s">
        <v>26</v>
      </c>
      <c r="AK40" s="4" t="s">
        <v>26</v>
      </c>
    </row>
    <row r="41" spans="1:37" x14ac:dyDescent="0.55000000000000004">
      <c r="A41" t="s">
        <v>188</v>
      </c>
      <c r="B41" t="s">
        <v>61</v>
      </c>
      <c r="D41" s="7">
        <v>1.8</v>
      </c>
      <c r="E41" s="4" t="s">
        <v>26</v>
      </c>
      <c r="F41" s="4">
        <v>13.3</v>
      </c>
      <c r="G41" s="4">
        <v>11.2</v>
      </c>
      <c r="H41" s="4">
        <v>17.899999999999999</v>
      </c>
      <c r="I41" t="s">
        <v>26</v>
      </c>
      <c r="J41" s="4" t="s">
        <v>26</v>
      </c>
      <c r="K41" s="4" t="s">
        <v>26</v>
      </c>
      <c r="L41" s="4" t="s">
        <v>26</v>
      </c>
      <c r="M41" s="4">
        <v>2.6</v>
      </c>
      <c r="N41" s="4" t="s">
        <v>26</v>
      </c>
      <c r="O41" s="4" t="s">
        <v>26</v>
      </c>
      <c r="P41" s="4" t="s">
        <v>26</v>
      </c>
      <c r="Q41" s="4" t="s">
        <v>26</v>
      </c>
      <c r="R41" s="4" t="s">
        <v>26</v>
      </c>
      <c r="S41" s="4" t="s">
        <v>26</v>
      </c>
      <c r="T41" s="7" t="s">
        <v>26</v>
      </c>
      <c r="U41" s="4" t="s">
        <v>26</v>
      </c>
      <c r="V41" s="7" t="s">
        <v>26</v>
      </c>
      <c r="W41" s="4" t="s">
        <v>26</v>
      </c>
      <c r="X41" s="4" t="s">
        <v>26</v>
      </c>
      <c r="Y41" s="4" t="s">
        <v>26</v>
      </c>
      <c r="Z41" s="4" t="s">
        <v>26</v>
      </c>
      <c r="AA41" s="4" t="s">
        <v>26</v>
      </c>
      <c r="AB41" s="4" t="s">
        <v>26</v>
      </c>
      <c r="AC41" s="4" t="s">
        <v>26</v>
      </c>
      <c r="AD41" s="4" t="s">
        <v>26</v>
      </c>
      <c r="AE41" s="4" t="s">
        <v>26</v>
      </c>
      <c r="AF41" s="4" t="s">
        <v>26</v>
      </c>
      <c r="AG41" s="4" t="s">
        <v>26</v>
      </c>
      <c r="AH41" s="4" t="s">
        <v>26</v>
      </c>
      <c r="AI41" s="4" t="s">
        <v>26</v>
      </c>
      <c r="AJ41" s="4" t="s">
        <v>26</v>
      </c>
      <c r="AK41" s="4" t="s">
        <v>26</v>
      </c>
    </row>
    <row r="42" spans="1:37" x14ac:dyDescent="0.55000000000000004">
      <c r="A42" t="s">
        <v>62</v>
      </c>
      <c r="B42" t="s">
        <v>63</v>
      </c>
      <c r="D42" s="4">
        <v>18.420000000000002</v>
      </c>
      <c r="E42" s="4" t="s">
        <v>26</v>
      </c>
      <c r="F42" s="4">
        <v>52.64</v>
      </c>
      <c r="G42" s="4">
        <v>61.85</v>
      </c>
      <c r="H42" s="4">
        <v>83.14</v>
      </c>
      <c r="I42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  <c r="S42" s="4">
        <v>45.44</v>
      </c>
      <c r="T42" s="7" t="s">
        <v>26</v>
      </c>
      <c r="U42" s="4" t="s">
        <v>26</v>
      </c>
      <c r="V42" s="7" t="s">
        <v>26</v>
      </c>
      <c r="W42" s="4" t="s">
        <v>26</v>
      </c>
      <c r="X42" s="4" t="s">
        <v>26</v>
      </c>
      <c r="Y42" s="4" t="s">
        <v>26</v>
      </c>
      <c r="Z42" s="4" t="s">
        <v>26</v>
      </c>
      <c r="AA42" s="4" t="s">
        <v>26</v>
      </c>
      <c r="AB42" s="4" t="s">
        <v>26</v>
      </c>
      <c r="AC42" s="4">
        <v>1.02</v>
      </c>
      <c r="AD42" s="4" t="s">
        <v>26</v>
      </c>
      <c r="AE42" s="4" t="s">
        <v>26</v>
      </c>
      <c r="AF42" s="4" t="s">
        <v>26</v>
      </c>
      <c r="AG42" s="4" t="s">
        <v>26</v>
      </c>
      <c r="AH42" s="4" t="s">
        <v>26</v>
      </c>
      <c r="AI42" s="4" t="s">
        <v>26</v>
      </c>
      <c r="AJ42" s="4" t="s">
        <v>26</v>
      </c>
      <c r="AK42" s="4" t="s">
        <v>26</v>
      </c>
    </row>
    <row r="43" spans="1:37" x14ac:dyDescent="0.55000000000000004">
      <c r="A43" t="s">
        <v>189</v>
      </c>
      <c r="B43" t="s">
        <v>65</v>
      </c>
      <c r="D43" s="4" t="s">
        <v>26</v>
      </c>
      <c r="E43" s="4" t="s">
        <v>26</v>
      </c>
      <c r="F43" s="4">
        <v>16.53</v>
      </c>
      <c r="G43" s="4">
        <v>3.99</v>
      </c>
      <c r="H43" s="4">
        <v>79.38</v>
      </c>
      <c r="I43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  <c r="T43" s="7" t="s">
        <v>26</v>
      </c>
      <c r="U43" s="4" t="s">
        <v>26</v>
      </c>
      <c r="V43" s="7" t="s">
        <v>26</v>
      </c>
      <c r="W43" s="4" t="s">
        <v>26</v>
      </c>
      <c r="X43" s="4" t="s">
        <v>26</v>
      </c>
      <c r="Y43" s="4" t="s">
        <v>26</v>
      </c>
      <c r="Z43" s="4" t="s">
        <v>26</v>
      </c>
      <c r="AA43" s="4" t="s">
        <v>26</v>
      </c>
      <c r="AB43" s="4" t="s">
        <v>26</v>
      </c>
      <c r="AC43" s="4" t="s">
        <v>26</v>
      </c>
      <c r="AD43" s="4" t="s">
        <v>26</v>
      </c>
      <c r="AE43" s="4" t="s">
        <v>26</v>
      </c>
      <c r="AF43" s="4" t="s">
        <v>26</v>
      </c>
      <c r="AG43" s="4" t="s">
        <v>26</v>
      </c>
      <c r="AH43" s="4" t="s">
        <v>26</v>
      </c>
      <c r="AI43" s="4" t="s">
        <v>26</v>
      </c>
      <c r="AJ43" s="4" t="s">
        <v>26</v>
      </c>
      <c r="AK43" s="4" t="s">
        <v>26</v>
      </c>
    </row>
    <row r="44" spans="1:37" x14ac:dyDescent="0.55000000000000004">
      <c r="A44" t="s">
        <v>190</v>
      </c>
      <c r="B44" t="s">
        <v>66</v>
      </c>
      <c r="D44" s="4" t="s">
        <v>26</v>
      </c>
      <c r="E44" s="4" t="s">
        <v>26</v>
      </c>
      <c r="F44" s="4" t="s">
        <v>26</v>
      </c>
      <c r="G44" s="7">
        <v>1.51</v>
      </c>
      <c r="H44" s="4">
        <v>149.05000000000001</v>
      </c>
      <c r="I4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  <c r="T44" s="7" t="s">
        <v>26</v>
      </c>
      <c r="U44" s="4" t="s">
        <v>26</v>
      </c>
      <c r="V44" s="7" t="s">
        <v>26</v>
      </c>
      <c r="W44" s="4" t="s">
        <v>26</v>
      </c>
      <c r="X44" s="4" t="s">
        <v>26</v>
      </c>
      <c r="Y44" s="4" t="s">
        <v>26</v>
      </c>
      <c r="Z44" s="4">
        <v>300</v>
      </c>
      <c r="AA44" s="4">
        <v>200</v>
      </c>
      <c r="AB44" s="4" t="s">
        <v>26</v>
      </c>
      <c r="AC44" s="4" t="s">
        <v>26</v>
      </c>
      <c r="AD44" s="4">
        <v>174.02</v>
      </c>
      <c r="AE44" s="4" t="s">
        <v>26</v>
      </c>
      <c r="AF44" s="4" t="s">
        <v>26</v>
      </c>
      <c r="AG44" s="4" t="s">
        <v>26</v>
      </c>
      <c r="AH44" s="4" t="s">
        <v>26</v>
      </c>
      <c r="AI44" s="4" t="s">
        <v>26</v>
      </c>
      <c r="AJ44" s="4" t="s">
        <v>26</v>
      </c>
      <c r="AK44" s="4" t="s">
        <v>26</v>
      </c>
    </row>
    <row r="45" spans="1:37" x14ac:dyDescent="0.55000000000000004">
      <c r="A45" t="s">
        <v>191</v>
      </c>
      <c r="B45" t="s">
        <v>67</v>
      </c>
      <c r="D45" s="4" t="s">
        <v>26</v>
      </c>
      <c r="E45" s="4" t="s">
        <v>26</v>
      </c>
      <c r="F45" s="4" t="s">
        <v>26</v>
      </c>
      <c r="G45" s="4">
        <v>2.12</v>
      </c>
      <c r="H45" s="4">
        <v>190.34</v>
      </c>
      <c r="I45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 t="s">
        <v>26</v>
      </c>
      <c r="S45" s="4" t="s">
        <v>26</v>
      </c>
      <c r="T45" s="7" t="s">
        <v>26</v>
      </c>
      <c r="U45" s="4" t="s">
        <v>26</v>
      </c>
      <c r="V45" s="7" t="s">
        <v>26</v>
      </c>
      <c r="W45" s="4" t="s">
        <v>26</v>
      </c>
      <c r="X45" s="4" t="s">
        <v>26</v>
      </c>
      <c r="Y45" s="4" t="s">
        <v>26</v>
      </c>
      <c r="Z45" s="4">
        <v>100</v>
      </c>
      <c r="AA45" s="4">
        <v>100</v>
      </c>
      <c r="AB45" s="4" t="s">
        <v>26</v>
      </c>
      <c r="AC45" s="4" t="s">
        <v>26</v>
      </c>
      <c r="AD45" s="4">
        <v>95.54</v>
      </c>
      <c r="AE45" s="4" t="s">
        <v>26</v>
      </c>
      <c r="AF45" s="4" t="s">
        <v>26</v>
      </c>
      <c r="AG45" s="4" t="s">
        <v>26</v>
      </c>
      <c r="AH45" s="4" t="s">
        <v>26</v>
      </c>
      <c r="AI45" s="4" t="s">
        <v>26</v>
      </c>
      <c r="AJ45" s="4" t="s">
        <v>26</v>
      </c>
      <c r="AK45" s="4" t="s">
        <v>26</v>
      </c>
    </row>
    <row r="46" spans="1:37" x14ac:dyDescent="0.55000000000000004">
      <c r="A46" t="s">
        <v>192</v>
      </c>
      <c r="B46" t="s">
        <v>68</v>
      </c>
      <c r="D46" s="4" t="s">
        <v>26</v>
      </c>
      <c r="E46" s="4" t="s">
        <v>26</v>
      </c>
      <c r="F46" s="4" t="s">
        <v>26</v>
      </c>
      <c r="G46" s="4" t="s">
        <v>26</v>
      </c>
      <c r="H46" s="4">
        <v>8.11</v>
      </c>
      <c r="I46" t="s">
        <v>26</v>
      </c>
      <c r="J46" s="4">
        <v>600</v>
      </c>
      <c r="K46" s="4">
        <v>100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>
        <v>2500</v>
      </c>
      <c r="R46" s="4" t="s">
        <v>26</v>
      </c>
      <c r="S46" s="4" t="s">
        <v>26</v>
      </c>
      <c r="T46" s="7" t="s">
        <v>26</v>
      </c>
      <c r="U46" s="4" t="s">
        <v>26</v>
      </c>
      <c r="V46" s="7" t="s">
        <v>26</v>
      </c>
      <c r="W46" s="4">
        <v>32.213999999999999</v>
      </c>
      <c r="X46" s="4" t="s">
        <v>26</v>
      </c>
      <c r="Y46" s="4" t="s">
        <v>26</v>
      </c>
      <c r="Z46" s="4" t="s">
        <v>26</v>
      </c>
      <c r="AA46" s="4" t="s">
        <v>26</v>
      </c>
      <c r="AB46" s="4" t="s">
        <v>26</v>
      </c>
      <c r="AC46" s="4" t="s">
        <v>26</v>
      </c>
      <c r="AD46" s="4">
        <v>9.9019999999999992</v>
      </c>
      <c r="AE46" s="4" t="s">
        <v>26</v>
      </c>
      <c r="AF46" s="4" t="s">
        <v>26</v>
      </c>
      <c r="AG46" s="4" t="s">
        <v>26</v>
      </c>
      <c r="AH46" s="4" t="s">
        <v>26</v>
      </c>
      <c r="AI46" s="4">
        <v>19.167000000000002</v>
      </c>
      <c r="AJ46" s="4" t="s">
        <v>26</v>
      </c>
      <c r="AK46" s="4" t="s">
        <v>26</v>
      </c>
    </row>
    <row r="47" spans="1:37" x14ac:dyDescent="0.55000000000000004">
      <c r="A47" t="s">
        <v>69</v>
      </c>
      <c r="B47" t="s">
        <v>70</v>
      </c>
      <c r="D47" s="4" t="s">
        <v>26</v>
      </c>
      <c r="E47" s="4" t="s">
        <v>26</v>
      </c>
      <c r="F47" s="4" t="s">
        <v>26</v>
      </c>
      <c r="G47" s="4" t="s">
        <v>26</v>
      </c>
      <c r="H47" s="4">
        <v>35.840000000000003</v>
      </c>
      <c r="I47" t="s">
        <v>26</v>
      </c>
      <c r="J47" s="4" t="s">
        <v>26</v>
      </c>
      <c r="K47" s="4" t="s">
        <v>26</v>
      </c>
      <c r="L47" s="4">
        <v>1.391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>
        <v>5.59</v>
      </c>
      <c r="T47" s="7" t="s">
        <v>26</v>
      </c>
      <c r="U47" s="4" t="s">
        <v>26</v>
      </c>
      <c r="V47" s="7" t="s">
        <v>26</v>
      </c>
      <c r="W47" s="4" t="s">
        <v>26</v>
      </c>
      <c r="X47" s="4" t="s">
        <v>26</v>
      </c>
      <c r="Y47" s="4" t="s">
        <v>26</v>
      </c>
      <c r="Z47" s="4" t="s">
        <v>26</v>
      </c>
      <c r="AA47" s="4" t="s">
        <v>26</v>
      </c>
      <c r="AB47" s="4" t="s">
        <v>26</v>
      </c>
      <c r="AC47" s="7" t="s">
        <v>26</v>
      </c>
      <c r="AD47" s="4" t="s">
        <v>26</v>
      </c>
      <c r="AE47" s="4" t="s">
        <v>26</v>
      </c>
      <c r="AF47" s="4" t="s">
        <v>26</v>
      </c>
      <c r="AG47" s="4" t="s">
        <v>26</v>
      </c>
      <c r="AH47" s="4" t="s">
        <v>26</v>
      </c>
      <c r="AI47" s="4" t="s">
        <v>26</v>
      </c>
      <c r="AJ47" s="4" t="s">
        <v>26</v>
      </c>
      <c r="AK47" s="4" t="s">
        <v>26</v>
      </c>
    </row>
    <row r="48" spans="1:37" x14ac:dyDescent="0.55000000000000004">
      <c r="A48" t="s">
        <v>193</v>
      </c>
      <c r="B48" t="s">
        <v>71</v>
      </c>
      <c r="D48" s="4">
        <v>11.09</v>
      </c>
      <c r="E48" s="4">
        <v>15.13</v>
      </c>
      <c r="F48" s="4">
        <v>8.67</v>
      </c>
      <c r="G48" s="4">
        <v>8.3000000000000007</v>
      </c>
      <c r="H48" s="4">
        <v>8.33</v>
      </c>
      <c r="I48" t="s">
        <v>26</v>
      </c>
      <c r="J48" s="4" t="s">
        <v>26</v>
      </c>
      <c r="K48" s="4" t="s">
        <v>26</v>
      </c>
      <c r="L48" s="4">
        <v>0.63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4" t="s">
        <v>26</v>
      </c>
      <c r="S48" s="4" t="s">
        <v>26</v>
      </c>
      <c r="T48" s="7" t="s">
        <v>26</v>
      </c>
      <c r="U48" s="4" t="s">
        <v>26</v>
      </c>
      <c r="V48" s="7" t="s">
        <v>26</v>
      </c>
      <c r="W48" s="4" t="s">
        <v>26</v>
      </c>
      <c r="X48" s="4" t="s">
        <v>26</v>
      </c>
      <c r="Y48" s="4" t="s">
        <v>26</v>
      </c>
      <c r="Z48" s="4" t="s">
        <v>26</v>
      </c>
      <c r="AA48" s="4" t="s">
        <v>26</v>
      </c>
      <c r="AB48" s="4" t="s">
        <v>26</v>
      </c>
      <c r="AC48" s="4" t="s">
        <v>26</v>
      </c>
      <c r="AD48" s="4" t="s">
        <v>26</v>
      </c>
      <c r="AE48" s="4" t="s">
        <v>26</v>
      </c>
      <c r="AF48" s="4" t="s">
        <v>26</v>
      </c>
      <c r="AG48" s="4" t="s">
        <v>26</v>
      </c>
      <c r="AH48" s="4" t="s">
        <v>26</v>
      </c>
      <c r="AI48" s="4" t="s">
        <v>26</v>
      </c>
      <c r="AJ48" s="4" t="s">
        <v>26</v>
      </c>
      <c r="AK48" s="4" t="s">
        <v>26</v>
      </c>
    </row>
    <row r="49" spans="1:38" x14ac:dyDescent="0.55000000000000004">
      <c r="A49" s="5" t="s">
        <v>179</v>
      </c>
      <c r="B49" s="5" t="s">
        <v>72</v>
      </c>
      <c r="C49" s="5"/>
      <c r="D49" s="6" t="s">
        <v>26</v>
      </c>
      <c r="E49" s="6" t="s">
        <v>26</v>
      </c>
      <c r="F49" s="6" t="s">
        <v>26</v>
      </c>
      <c r="G49" s="6" t="s">
        <v>26</v>
      </c>
      <c r="H49" s="6" t="s">
        <v>26</v>
      </c>
      <c r="I49" s="5" t="s">
        <v>26</v>
      </c>
      <c r="J49" s="6" t="s">
        <v>26</v>
      </c>
      <c r="K49" s="6" t="s">
        <v>26</v>
      </c>
      <c r="L49" s="6" t="s">
        <v>26</v>
      </c>
      <c r="M49" s="6" t="s">
        <v>26</v>
      </c>
      <c r="N49" s="6" t="s">
        <v>26</v>
      </c>
      <c r="O49" s="6" t="s">
        <v>26</v>
      </c>
      <c r="P49" s="6" t="s">
        <v>26</v>
      </c>
      <c r="Q49" s="6">
        <v>700</v>
      </c>
      <c r="R49" s="6" t="s">
        <v>26</v>
      </c>
      <c r="S49" s="6" t="s">
        <v>26</v>
      </c>
      <c r="T49" s="9" t="s">
        <v>26</v>
      </c>
      <c r="U49" s="6" t="s">
        <v>26</v>
      </c>
      <c r="V49" s="9" t="s">
        <v>26</v>
      </c>
      <c r="W49" s="6">
        <v>23.9</v>
      </c>
      <c r="X49" s="6" t="s">
        <v>26</v>
      </c>
      <c r="Y49" s="6" t="s">
        <v>26</v>
      </c>
      <c r="Z49" s="6" t="s">
        <v>26</v>
      </c>
      <c r="AA49" s="6" t="s">
        <v>26</v>
      </c>
      <c r="AB49" s="6" t="s">
        <v>26</v>
      </c>
      <c r="AC49" s="6" t="s">
        <v>26</v>
      </c>
      <c r="AD49" s="6" t="s">
        <v>26</v>
      </c>
      <c r="AE49" s="6" t="s">
        <v>26</v>
      </c>
      <c r="AF49" s="6" t="s">
        <v>26</v>
      </c>
      <c r="AG49" s="6" t="s">
        <v>26</v>
      </c>
      <c r="AH49" s="6" t="s">
        <v>26</v>
      </c>
      <c r="AI49" s="6" t="s">
        <v>26</v>
      </c>
      <c r="AJ49" s="6" t="s">
        <v>26</v>
      </c>
      <c r="AK49" s="6" t="s">
        <v>26</v>
      </c>
      <c r="AL49" s="5"/>
    </row>
    <row r="50" spans="1:38" x14ac:dyDescent="0.55000000000000004">
      <c r="A50" s="5" t="s">
        <v>194</v>
      </c>
      <c r="B50" s="5" t="s">
        <v>76</v>
      </c>
      <c r="C50" s="5"/>
      <c r="D50" s="6">
        <v>12.9</v>
      </c>
      <c r="E50" s="6">
        <v>9.9</v>
      </c>
      <c r="F50" s="6">
        <v>14.5</v>
      </c>
      <c r="G50" s="6">
        <v>16.100000000000001</v>
      </c>
      <c r="H50" s="6">
        <v>6.2</v>
      </c>
      <c r="I50" s="5" t="s">
        <v>26</v>
      </c>
      <c r="J50" s="6" t="s">
        <v>26</v>
      </c>
      <c r="K50" s="6" t="s">
        <v>26</v>
      </c>
      <c r="L50" s="6">
        <v>0.63</v>
      </c>
      <c r="M50" s="6" t="s">
        <v>26</v>
      </c>
      <c r="N50" s="6" t="s">
        <v>26</v>
      </c>
      <c r="O50" s="6" t="s">
        <v>26</v>
      </c>
      <c r="P50" s="6" t="s">
        <v>26</v>
      </c>
      <c r="Q50" s="6" t="s">
        <v>26</v>
      </c>
      <c r="R50" s="6" t="s">
        <v>26</v>
      </c>
      <c r="S50" s="6" t="s">
        <v>26</v>
      </c>
      <c r="T50" s="9" t="s">
        <v>26</v>
      </c>
      <c r="U50" s="6" t="s">
        <v>26</v>
      </c>
      <c r="V50" s="9" t="s">
        <v>26</v>
      </c>
      <c r="W50" s="6" t="s">
        <v>26</v>
      </c>
      <c r="X50" s="6" t="s">
        <v>26</v>
      </c>
      <c r="Y50" s="6" t="s">
        <v>26</v>
      </c>
      <c r="Z50" s="6" t="s">
        <v>26</v>
      </c>
      <c r="AA50" s="6" t="s">
        <v>26</v>
      </c>
      <c r="AB50" s="6" t="s">
        <v>26</v>
      </c>
      <c r="AC50" s="6" t="s">
        <v>26</v>
      </c>
      <c r="AD50" s="6" t="s">
        <v>26</v>
      </c>
      <c r="AE50" s="6" t="s">
        <v>26</v>
      </c>
      <c r="AF50" s="6" t="s">
        <v>26</v>
      </c>
      <c r="AG50" s="6" t="s">
        <v>26</v>
      </c>
      <c r="AH50" s="6" t="s">
        <v>26</v>
      </c>
      <c r="AI50" s="6" t="s">
        <v>26</v>
      </c>
      <c r="AJ50" s="6" t="s">
        <v>26</v>
      </c>
      <c r="AK50" s="6" t="s">
        <v>26</v>
      </c>
      <c r="AL50" s="5"/>
    </row>
    <row r="51" spans="1:38" x14ac:dyDescent="0.55000000000000004">
      <c r="A51" t="s">
        <v>224</v>
      </c>
      <c r="B51" t="s">
        <v>79</v>
      </c>
      <c r="D51" s="4" t="s">
        <v>26</v>
      </c>
      <c r="E51" s="4" t="s">
        <v>26</v>
      </c>
      <c r="F51" s="4" t="s">
        <v>26</v>
      </c>
      <c r="G51" s="4" t="s">
        <v>26</v>
      </c>
      <c r="H51" s="7">
        <v>1.6</v>
      </c>
      <c r="I51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4" t="s">
        <v>26</v>
      </c>
      <c r="S51" s="4" t="s">
        <v>26</v>
      </c>
      <c r="T51" s="7" t="s">
        <v>26</v>
      </c>
      <c r="U51" s="4" t="s">
        <v>26</v>
      </c>
      <c r="V51" s="7" t="s">
        <v>26</v>
      </c>
      <c r="W51" s="4" t="s">
        <v>26</v>
      </c>
      <c r="X51" s="4" t="s">
        <v>26</v>
      </c>
      <c r="Y51" s="6" t="s">
        <v>26</v>
      </c>
      <c r="Z51" s="4" t="s">
        <v>26</v>
      </c>
      <c r="AA51" s="4" t="s">
        <v>26</v>
      </c>
      <c r="AB51" s="4" t="s">
        <v>26</v>
      </c>
      <c r="AC51" s="4" t="s">
        <v>26</v>
      </c>
      <c r="AD51" s="4" t="s">
        <v>26</v>
      </c>
      <c r="AE51" s="4" t="s">
        <v>26</v>
      </c>
      <c r="AF51" s="4" t="s">
        <v>26</v>
      </c>
      <c r="AG51" s="4" t="s">
        <v>26</v>
      </c>
      <c r="AH51" s="4" t="s">
        <v>26</v>
      </c>
      <c r="AI51" s="4" t="s">
        <v>26</v>
      </c>
      <c r="AJ51" s="4" t="s">
        <v>26</v>
      </c>
      <c r="AK51" s="4" t="s">
        <v>26</v>
      </c>
    </row>
    <row r="52" spans="1:38" x14ac:dyDescent="0.55000000000000004">
      <c r="A52" t="s">
        <v>223</v>
      </c>
      <c r="B52" t="s">
        <v>80</v>
      </c>
      <c r="D52" s="4" t="s">
        <v>26</v>
      </c>
      <c r="E52" s="4" t="s">
        <v>26</v>
      </c>
      <c r="F52" s="4" t="s">
        <v>26</v>
      </c>
      <c r="G52" s="4" t="s">
        <v>26</v>
      </c>
      <c r="H52" s="4" t="s">
        <v>26</v>
      </c>
      <c r="I52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4" t="s">
        <v>26</v>
      </c>
      <c r="S52" s="4" t="s">
        <v>26</v>
      </c>
      <c r="T52" s="7" t="s">
        <v>26</v>
      </c>
      <c r="U52" s="4" t="s">
        <v>26</v>
      </c>
      <c r="V52" s="7" t="s">
        <v>26</v>
      </c>
      <c r="W52" s="4" t="s">
        <v>26</v>
      </c>
      <c r="X52" s="4" t="s">
        <v>26</v>
      </c>
      <c r="Y52" s="6" t="s">
        <v>26</v>
      </c>
      <c r="Z52" s="4" t="s">
        <v>26</v>
      </c>
      <c r="AA52" s="4" t="s">
        <v>26</v>
      </c>
      <c r="AB52" s="4" t="s">
        <v>26</v>
      </c>
      <c r="AC52" s="4" t="s">
        <v>26</v>
      </c>
      <c r="AD52" s="4" t="s">
        <v>26</v>
      </c>
      <c r="AE52" s="4" t="s">
        <v>26</v>
      </c>
      <c r="AF52" s="4" t="s">
        <v>26</v>
      </c>
      <c r="AG52" s="4" t="s">
        <v>26</v>
      </c>
      <c r="AH52" s="4" t="s">
        <v>26</v>
      </c>
      <c r="AI52" s="4" t="s">
        <v>26</v>
      </c>
      <c r="AJ52" s="4" t="s">
        <v>26</v>
      </c>
      <c r="AK52" s="4" t="s">
        <v>26</v>
      </c>
    </row>
    <row r="53" spans="1:38" x14ac:dyDescent="0.55000000000000004">
      <c r="A53" t="s">
        <v>81</v>
      </c>
      <c r="B53" t="s">
        <v>94</v>
      </c>
      <c r="D53" s="4" t="s">
        <v>26</v>
      </c>
      <c r="E53" s="4" t="s">
        <v>26</v>
      </c>
      <c r="F53" s="4" t="s">
        <v>26</v>
      </c>
      <c r="G53" s="4">
        <v>3.59</v>
      </c>
      <c r="H53" s="7">
        <v>1.66</v>
      </c>
      <c r="I53" t="s">
        <v>26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4" t="s">
        <v>26</v>
      </c>
      <c r="S53" s="4" t="s">
        <v>26</v>
      </c>
      <c r="T53" s="7" t="s">
        <v>26</v>
      </c>
      <c r="U53" s="4" t="s">
        <v>26</v>
      </c>
      <c r="V53" s="7" t="s">
        <v>26</v>
      </c>
      <c r="W53" s="4" t="s">
        <v>26</v>
      </c>
      <c r="X53" s="4" t="s">
        <v>26</v>
      </c>
      <c r="Y53" s="4" t="s">
        <v>26</v>
      </c>
      <c r="Z53" s="4" t="s">
        <v>26</v>
      </c>
      <c r="AA53" s="4" t="s">
        <v>26</v>
      </c>
      <c r="AB53" s="4" t="s">
        <v>26</v>
      </c>
      <c r="AC53" s="4" t="s">
        <v>26</v>
      </c>
      <c r="AD53" s="4" t="s">
        <v>26</v>
      </c>
      <c r="AE53" s="4" t="s">
        <v>26</v>
      </c>
      <c r="AF53" s="4" t="s">
        <v>26</v>
      </c>
      <c r="AG53" s="4" t="s">
        <v>26</v>
      </c>
      <c r="AH53" s="4" t="s">
        <v>26</v>
      </c>
      <c r="AI53" s="4" t="s">
        <v>26</v>
      </c>
      <c r="AJ53" s="4" t="s">
        <v>26</v>
      </c>
      <c r="AK53" s="4">
        <v>3.79</v>
      </c>
    </row>
    <row r="54" spans="1:38" x14ac:dyDescent="0.55000000000000004">
      <c r="A54" t="s">
        <v>81</v>
      </c>
      <c r="B54" t="s">
        <v>82</v>
      </c>
      <c r="D54" s="4" t="s">
        <v>26</v>
      </c>
      <c r="E54" s="4" t="s">
        <v>26</v>
      </c>
      <c r="F54" s="4" t="s">
        <v>26</v>
      </c>
      <c r="G54" s="4" t="s">
        <v>26</v>
      </c>
      <c r="H54" s="4" t="s">
        <v>26</v>
      </c>
      <c r="I54" t="s">
        <v>26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4" t="s">
        <v>26</v>
      </c>
      <c r="S54" s="4" t="s">
        <v>26</v>
      </c>
      <c r="T54" s="7" t="s">
        <v>26</v>
      </c>
      <c r="U54" s="4" t="s">
        <v>26</v>
      </c>
      <c r="V54" s="7" t="s">
        <v>26</v>
      </c>
      <c r="W54" s="4" t="s">
        <v>26</v>
      </c>
      <c r="X54" s="4" t="s">
        <v>26</v>
      </c>
      <c r="Y54" s="4" t="s">
        <v>26</v>
      </c>
      <c r="Z54" s="4" t="s">
        <v>26</v>
      </c>
      <c r="AA54" s="4" t="s">
        <v>26</v>
      </c>
      <c r="AB54" s="4" t="s">
        <v>26</v>
      </c>
      <c r="AC54" s="4" t="s">
        <v>26</v>
      </c>
      <c r="AD54" s="4" t="s">
        <v>26</v>
      </c>
      <c r="AE54" s="4" t="s">
        <v>26</v>
      </c>
      <c r="AF54" s="4" t="s">
        <v>26</v>
      </c>
      <c r="AG54" s="4" t="s">
        <v>26</v>
      </c>
      <c r="AH54" s="4" t="s">
        <v>26</v>
      </c>
      <c r="AI54" s="4" t="s">
        <v>26</v>
      </c>
      <c r="AJ54" s="4" t="s">
        <v>26</v>
      </c>
      <c r="AK54" s="4">
        <v>2.3199999999999998</v>
      </c>
    </row>
    <row r="55" spans="1:38" x14ac:dyDescent="0.55000000000000004">
      <c r="A55" t="s">
        <v>195</v>
      </c>
      <c r="B55" t="s">
        <v>83</v>
      </c>
      <c r="D55" s="4" t="s">
        <v>26</v>
      </c>
      <c r="E55" s="4" t="s">
        <v>26</v>
      </c>
      <c r="F55" s="4" t="s">
        <v>26</v>
      </c>
      <c r="G55" s="4">
        <v>2.1800000000000002</v>
      </c>
      <c r="H55" s="7">
        <v>1.5</v>
      </c>
      <c r="I55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4" t="s">
        <v>26</v>
      </c>
      <c r="S55" s="4" t="s">
        <v>26</v>
      </c>
      <c r="T55" s="7" t="s">
        <v>26</v>
      </c>
      <c r="U55" s="4" t="s">
        <v>26</v>
      </c>
      <c r="V55" s="7" t="s">
        <v>26</v>
      </c>
      <c r="W55" s="4" t="s">
        <v>26</v>
      </c>
      <c r="X55" s="4" t="s">
        <v>26</v>
      </c>
      <c r="Y55" s="4" t="s">
        <v>26</v>
      </c>
      <c r="Z55" s="4" t="s">
        <v>26</v>
      </c>
      <c r="AA55" s="4" t="s">
        <v>26</v>
      </c>
      <c r="AB55" s="4" t="s">
        <v>26</v>
      </c>
      <c r="AC55" s="4" t="s">
        <v>26</v>
      </c>
      <c r="AD55" s="4" t="s">
        <v>26</v>
      </c>
      <c r="AE55" s="4" t="s">
        <v>26</v>
      </c>
      <c r="AF55" s="4" t="s">
        <v>26</v>
      </c>
      <c r="AG55" s="4" t="s">
        <v>26</v>
      </c>
      <c r="AH55" s="4" t="s">
        <v>26</v>
      </c>
      <c r="AI55" s="4" t="s">
        <v>26</v>
      </c>
      <c r="AJ55" s="4" t="s">
        <v>26</v>
      </c>
      <c r="AK55" s="4">
        <v>3.29</v>
      </c>
    </row>
    <row r="56" spans="1:38" x14ac:dyDescent="0.55000000000000004">
      <c r="A56" t="s">
        <v>84</v>
      </c>
      <c r="B56" t="s">
        <v>85</v>
      </c>
      <c r="D56" s="4" t="s">
        <v>26</v>
      </c>
      <c r="E56" s="4" t="s">
        <v>26</v>
      </c>
      <c r="F56" s="4" t="s">
        <v>26</v>
      </c>
      <c r="G56" s="6">
        <v>2.0073749890724715</v>
      </c>
      <c r="H56" s="4" t="s">
        <v>26</v>
      </c>
      <c r="I56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4" t="s">
        <v>26</v>
      </c>
      <c r="S56" s="4" t="s">
        <v>26</v>
      </c>
      <c r="T56" s="7" t="s">
        <v>26</v>
      </c>
      <c r="U56" s="4" t="s">
        <v>26</v>
      </c>
      <c r="V56" s="7" t="s">
        <v>26</v>
      </c>
      <c r="W56" s="4" t="s">
        <v>26</v>
      </c>
      <c r="X56" s="4" t="s">
        <v>26</v>
      </c>
      <c r="Y56" s="4" t="s">
        <v>26</v>
      </c>
      <c r="Z56" s="4" t="s">
        <v>26</v>
      </c>
      <c r="AA56" s="4" t="s">
        <v>26</v>
      </c>
      <c r="AB56" s="4" t="s">
        <v>26</v>
      </c>
      <c r="AC56" s="4" t="s">
        <v>26</v>
      </c>
      <c r="AD56" s="4" t="s">
        <v>26</v>
      </c>
      <c r="AE56" s="4" t="s">
        <v>26</v>
      </c>
      <c r="AF56" s="4" t="s">
        <v>26</v>
      </c>
      <c r="AG56" s="4" t="s">
        <v>26</v>
      </c>
      <c r="AH56" s="4" t="s">
        <v>26</v>
      </c>
      <c r="AI56" s="4" t="s">
        <v>26</v>
      </c>
      <c r="AJ56" s="4" t="s">
        <v>26</v>
      </c>
      <c r="AK56" s="4">
        <v>0</v>
      </c>
    </row>
    <row r="57" spans="1:38" x14ac:dyDescent="0.55000000000000004">
      <c r="A57" t="s">
        <v>84</v>
      </c>
      <c r="B57" t="s">
        <v>86</v>
      </c>
      <c r="D57" s="4" t="s">
        <v>26</v>
      </c>
      <c r="E57" s="4" t="s">
        <v>26</v>
      </c>
      <c r="F57" s="4" t="s">
        <v>26</v>
      </c>
      <c r="G57" s="4">
        <v>3.41</v>
      </c>
      <c r="H57" s="4" t="s">
        <v>26</v>
      </c>
      <c r="I57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4" t="s">
        <v>26</v>
      </c>
      <c r="S57" s="4" t="s">
        <v>26</v>
      </c>
      <c r="T57" s="7" t="s">
        <v>26</v>
      </c>
      <c r="U57" s="4" t="s">
        <v>26</v>
      </c>
      <c r="V57" s="7" t="s">
        <v>26</v>
      </c>
      <c r="W57" s="4" t="s">
        <v>26</v>
      </c>
      <c r="X57" s="4" t="s">
        <v>26</v>
      </c>
      <c r="Y57" s="4" t="s">
        <v>26</v>
      </c>
      <c r="Z57" s="4" t="s">
        <v>26</v>
      </c>
      <c r="AA57" s="4" t="s">
        <v>26</v>
      </c>
      <c r="AB57" s="4" t="s">
        <v>26</v>
      </c>
      <c r="AC57" s="4">
        <v>1.07</v>
      </c>
      <c r="AD57" s="4" t="s">
        <v>26</v>
      </c>
      <c r="AE57" s="4" t="s">
        <v>26</v>
      </c>
      <c r="AF57" s="4" t="s">
        <v>26</v>
      </c>
      <c r="AG57" s="4" t="s">
        <v>26</v>
      </c>
      <c r="AH57" s="4" t="s">
        <v>26</v>
      </c>
      <c r="AI57" s="4" t="s">
        <v>26</v>
      </c>
      <c r="AJ57" s="4" t="s">
        <v>26</v>
      </c>
      <c r="AK57" s="4">
        <v>4.6100000000000003</v>
      </c>
    </row>
    <row r="58" spans="1:38" x14ac:dyDescent="0.55000000000000004">
      <c r="A58" t="s">
        <v>196</v>
      </c>
      <c r="B58" t="s">
        <v>87</v>
      </c>
      <c r="D58" s="4">
        <v>3.29</v>
      </c>
      <c r="E58" s="4" t="s">
        <v>26</v>
      </c>
      <c r="F58" s="4">
        <v>11.07</v>
      </c>
      <c r="G58" s="4">
        <v>51.01</v>
      </c>
      <c r="H58" s="4" t="s">
        <v>26</v>
      </c>
      <c r="I58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>
        <v>100</v>
      </c>
      <c r="R58" s="4" t="s">
        <v>26</v>
      </c>
      <c r="S58" s="4" t="s">
        <v>26</v>
      </c>
      <c r="T58" s="7" t="s">
        <v>26</v>
      </c>
      <c r="U58" s="4" t="s">
        <v>26</v>
      </c>
      <c r="V58" s="7" t="s">
        <v>26</v>
      </c>
      <c r="W58" s="4" t="s">
        <v>26</v>
      </c>
      <c r="X58" s="4" t="s">
        <v>26</v>
      </c>
      <c r="Y58" s="4" t="s">
        <v>26</v>
      </c>
      <c r="Z58" s="4" t="s">
        <v>26</v>
      </c>
      <c r="AA58" s="4" t="s">
        <v>26</v>
      </c>
      <c r="AB58" s="4" t="s">
        <v>26</v>
      </c>
      <c r="AC58" s="4">
        <v>1.26</v>
      </c>
      <c r="AD58" s="4" t="s">
        <v>26</v>
      </c>
      <c r="AE58" s="4" t="s">
        <v>26</v>
      </c>
      <c r="AF58" s="4" t="s">
        <v>26</v>
      </c>
      <c r="AG58" s="4" t="s">
        <v>26</v>
      </c>
      <c r="AH58" s="4" t="s">
        <v>26</v>
      </c>
      <c r="AI58" s="4" t="s">
        <v>26</v>
      </c>
      <c r="AJ58" s="4" t="s">
        <v>26</v>
      </c>
      <c r="AK58" s="4">
        <v>5.59</v>
      </c>
    </row>
    <row r="59" spans="1:38" x14ac:dyDescent="0.55000000000000004">
      <c r="A59" t="s">
        <v>84</v>
      </c>
      <c r="B59" t="s">
        <v>88</v>
      </c>
      <c r="D59" s="4" t="s">
        <v>26</v>
      </c>
      <c r="E59" s="4" t="s">
        <v>26</v>
      </c>
      <c r="F59" s="4">
        <v>3.07</v>
      </c>
      <c r="G59" s="4">
        <v>15.22</v>
      </c>
      <c r="H59" s="4" t="s">
        <v>26</v>
      </c>
      <c r="I59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4" t="s">
        <v>26</v>
      </c>
      <c r="S59" s="4" t="s">
        <v>26</v>
      </c>
      <c r="T59" s="7" t="s">
        <v>26</v>
      </c>
      <c r="U59" s="4" t="s">
        <v>26</v>
      </c>
      <c r="V59" s="7" t="s">
        <v>26</v>
      </c>
      <c r="W59" s="4" t="s">
        <v>26</v>
      </c>
      <c r="X59" s="4" t="s">
        <v>26</v>
      </c>
      <c r="Y59" s="4" t="s">
        <v>26</v>
      </c>
      <c r="Z59" s="4" t="s">
        <v>26</v>
      </c>
      <c r="AA59" s="4" t="s">
        <v>26</v>
      </c>
      <c r="AB59" s="4" t="s">
        <v>26</v>
      </c>
      <c r="AC59" s="4" t="s">
        <v>26</v>
      </c>
      <c r="AD59" s="4" t="s">
        <v>26</v>
      </c>
      <c r="AE59" s="4" t="s">
        <v>26</v>
      </c>
      <c r="AF59" s="4" t="s">
        <v>26</v>
      </c>
      <c r="AG59" s="4" t="s">
        <v>26</v>
      </c>
      <c r="AH59" s="4" t="s">
        <v>26</v>
      </c>
      <c r="AI59" s="4" t="s">
        <v>26</v>
      </c>
      <c r="AJ59" s="4" t="s">
        <v>26</v>
      </c>
      <c r="AK59" s="4">
        <v>2.88</v>
      </c>
    </row>
    <row r="60" spans="1:38" x14ac:dyDescent="0.55000000000000004">
      <c r="A60" t="s">
        <v>84</v>
      </c>
      <c r="B60" t="s">
        <v>89</v>
      </c>
      <c r="D60" s="4" t="s">
        <v>26</v>
      </c>
      <c r="E60" s="4" t="s">
        <v>26</v>
      </c>
      <c r="F60" s="4">
        <v>2.95</v>
      </c>
      <c r="G60" s="4">
        <v>10.24</v>
      </c>
      <c r="H60" s="4" t="s">
        <v>26</v>
      </c>
      <c r="I60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4" t="s">
        <v>26</v>
      </c>
      <c r="S60" s="4" t="s">
        <v>26</v>
      </c>
      <c r="T60" s="7" t="s">
        <v>26</v>
      </c>
      <c r="U60" s="4" t="s">
        <v>26</v>
      </c>
      <c r="V60" s="7" t="s">
        <v>26</v>
      </c>
      <c r="W60" s="4" t="s">
        <v>26</v>
      </c>
      <c r="X60" s="4" t="s">
        <v>26</v>
      </c>
      <c r="Y60" s="4" t="s">
        <v>26</v>
      </c>
      <c r="Z60" s="4" t="s">
        <v>26</v>
      </c>
      <c r="AA60" s="4" t="s">
        <v>26</v>
      </c>
      <c r="AB60" s="4" t="s">
        <v>26</v>
      </c>
      <c r="AC60" s="7" t="s">
        <v>26</v>
      </c>
      <c r="AD60" s="4" t="s">
        <v>26</v>
      </c>
      <c r="AE60" s="4" t="s">
        <v>26</v>
      </c>
      <c r="AF60" s="4" t="s">
        <v>26</v>
      </c>
      <c r="AG60" s="4" t="s">
        <v>26</v>
      </c>
      <c r="AH60" s="4" t="s">
        <v>26</v>
      </c>
      <c r="AI60" s="4" t="s">
        <v>26</v>
      </c>
      <c r="AJ60" s="4" t="s">
        <v>26</v>
      </c>
      <c r="AK60" s="4">
        <v>3.09</v>
      </c>
    </row>
    <row r="61" spans="1:38" x14ac:dyDescent="0.55000000000000004">
      <c r="A61" t="s">
        <v>90</v>
      </c>
      <c r="B61" t="s">
        <v>91</v>
      </c>
      <c r="D61" s="4">
        <v>13.14</v>
      </c>
      <c r="E61" s="4" t="s">
        <v>26</v>
      </c>
      <c r="F61" s="4">
        <v>38.950000000000003</v>
      </c>
      <c r="G61" s="4">
        <v>85.6</v>
      </c>
      <c r="H61" s="4">
        <v>7.95</v>
      </c>
      <c r="I61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4" t="s">
        <v>26</v>
      </c>
      <c r="S61" s="4">
        <v>8.8800000000000008</v>
      </c>
      <c r="T61" s="7" t="s">
        <v>26</v>
      </c>
      <c r="U61" s="4" t="s">
        <v>26</v>
      </c>
      <c r="V61" s="7" t="s">
        <v>26</v>
      </c>
      <c r="W61" s="4" t="s">
        <v>26</v>
      </c>
      <c r="X61" s="4" t="s">
        <v>26</v>
      </c>
      <c r="Y61" s="4" t="s">
        <v>26</v>
      </c>
      <c r="Z61" s="4" t="s">
        <v>26</v>
      </c>
      <c r="AA61" s="4" t="s">
        <v>26</v>
      </c>
      <c r="AB61" s="4" t="s">
        <v>26</v>
      </c>
      <c r="AC61" s="7">
        <v>0.55000000000000004</v>
      </c>
      <c r="AD61" s="4" t="s">
        <v>26</v>
      </c>
      <c r="AE61" s="4" t="s">
        <v>26</v>
      </c>
      <c r="AF61" s="4" t="s">
        <v>26</v>
      </c>
      <c r="AG61" s="4" t="s">
        <v>26</v>
      </c>
      <c r="AH61" s="4" t="s">
        <v>26</v>
      </c>
      <c r="AI61" s="4" t="s">
        <v>26</v>
      </c>
      <c r="AJ61" s="4" t="s">
        <v>26</v>
      </c>
      <c r="AK61" s="4" t="s">
        <v>26</v>
      </c>
    </row>
    <row r="62" spans="1:38" x14ac:dyDescent="0.55000000000000004">
      <c r="A62" t="s">
        <v>197</v>
      </c>
      <c r="B62" t="s">
        <v>92</v>
      </c>
      <c r="D62" s="6">
        <f>AVERAGE(D60:D61)</f>
        <v>13.14</v>
      </c>
      <c r="E62" s="4" t="s">
        <v>26</v>
      </c>
      <c r="F62" s="6">
        <f>AVERAGE(F60:F61)</f>
        <v>20.950000000000003</v>
      </c>
      <c r="G62" s="6">
        <f>AVERAGE(G60:G61)</f>
        <v>47.919999999999995</v>
      </c>
      <c r="H62" s="6">
        <v>4.5999999999999996</v>
      </c>
      <c r="I62" t="s">
        <v>26</v>
      </c>
      <c r="J62" s="4" t="s">
        <v>26</v>
      </c>
      <c r="K62" s="4" t="s">
        <v>26</v>
      </c>
      <c r="L62" s="4">
        <v>0.68620000000000003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4" t="s">
        <v>26</v>
      </c>
      <c r="S62" s="4" t="s">
        <v>26</v>
      </c>
      <c r="T62" s="7" t="s">
        <v>26</v>
      </c>
      <c r="U62" s="4" t="s">
        <v>26</v>
      </c>
      <c r="V62" s="7" t="s">
        <v>26</v>
      </c>
      <c r="W62" s="4" t="s">
        <v>26</v>
      </c>
      <c r="X62" s="4" t="s">
        <v>26</v>
      </c>
      <c r="Y62" s="4" t="s">
        <v>26</v>
      </c>
      <c r="Z62" s="4" t="s">
        <v>26</v>
      </c>
      <c r="AA62" s="4" t="s">
        <v>26</v>
      </c>
      <c r="AB62" s="4" t="s">
        <v>26</v>
      </c>
      <c r="AC62" s="4" t="s">
        <v>26</v>
      </c>
      <c r="AD62" s="4" t="s">
        <v>26</v>
      </c>
      <c r="AE62" s="4" t="s">
        <v>26</v>
      </c>
      <c r="AF62" s="4" t="s">
        <v>26</v>
      </c>
      <c r="AG62" s="4" t="s">
        <v>26</v>
      </c>
      <c r="AH62" s="4" t="s">
        <v>26</v>
      </c>
      <c r="AI62" s="4" t="s">
        <v>26</v>
      </c>
      <c r="AJ62" s="4" t="s">
        <v>26</v>
      </c>
      <c r="AK62" s="4" t="s">
        <v>26</v>
      </c>
    </row>
    <row r="63" spans="1:38" x14ac:dyDescent="0.55000000000000004">
      <c r="A63" t="s">
        <v>198</v>
      </c>
      <c r="B63" t="s">
        <v>93</v>
      </c>
      <c r="D63" s="4">
        <v>10.71</v>
      </c>
      <c r="E63" s="4">
        <v>15.1</v>
      </c>
      <c r="F63" s="4">
        <v>9.36</v>
      </c>
      <c r="G63" s="4">
        <v>10.74</v>
      </c>
      <c r="H63" s="4">
        <v>9.26</v>
      </c>
      <c r="I63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4" t="s">
        <v>26</v>
      </c>
      <c r="S63" s="4" t="s">
        <v>26</v>
      </c>
      <c r="T63" s="7" t="s">
        <v>26</v>
      </c>
      <c r="U63" s="4" t="s">
        <v>26</v>
      </c>
      <c r="V63" s="7" t="s">
        <v>26</v>
      </c>
      <c r="W63" s="4" t="s">
        <v>26</v>
      </c>
      <c r="X63" s="4" t="s">
        <v>26</v>
      </c>
      <c r="Y63" s="4" t="s">
        <v>26</v>
      </c>
      <c r="Z63" s="4" t="s">
        <v>26</v>
      </c>
      <c r="AA63" s="4" t="s">
        <v>26</v>
      </c>
      <c r="AB63" s="4" t="s">
        <v>26</v>
      </c>
      <c r="AC63" s="4" t="s">
        <v>26</v>
      </c>
      <c r="AD63" s="4" t="s">
        <v>26</v>
      </c>
      <c r="AE63" s="4" t="s">
        <v>26</v>
      </c>
      <c r="AF63" s="4" t="s">
        <v>26</v>
      </c>
      <c r="AG63" s="4" t="s">
        <v>26</v>
      </c>
      <c r="AH63" s="4" t="s">
        <v>26</v>
      </c>
      <c r="AI63" s="4" t="s">
        <v>26</v>
      </c>
      <c r="AJ63" s="4" t="s">
        <v>26</v>
      </c>
      <c r="AK63" s="4" t="s">
        <v>26</v>
      </c>
    </row>
    <row r="64" spans="1:38" x14ac:dyDescent="0.55000000000000004">
      <c r="A64" s="5" t="s">
        <v>199</v>
      </c>
      <c r="B64" s="5" t="s">
        <v>95</v>
      </c>
      <c r="C64" s="5"/>
      <c r="D64" s="6" t="s">
        <v>26</v>
      </c>
      <c r="E64" s="6" t="s">
        <v>26</v>
      </c>
      <c r="F64" s="6" t="s">
        <v>26</v>
      </c>
      <c r="G64" s="6" t="s">
        <v>26</v>
      </c>
      <c r="H64" s="6" t="s">
        <v>26</v>
      </c>
      <c r="I64" s="5" t="s">
        <v>26</v>
      </c>
      <c r="J64" s="6" t="s">
        <v>26</v>
      </c>
      <c r="K64" s="6" t="s">
        <v>26</v>
      </c>
      <c r="L64" s="6" t="s">
        <v>26</v>
      </c>
      <c r="M64" s="6" t="s">
        <v>26</v>
      </c>
      <c r="N64" s="6" t="s">
        <v>26</v>
      </c>
      <c r="O64" s="6" t="s">
        <v>26</v>
      </c>
      <c r="P64" s="6" t="s">
        <v>26</v>
      </c>
      <c r="Q64" s="6" t="s">
        <v>26</v>
      </c>
      <c r="R64" s="6" t="s">
        <v>26</v>
      </c>
      <c r="S64" s="6" t="s">
        <v>26</v>
      </c>
      <c r="T64" s="9" t="s">
        <v>26</v>
      </c>
      <c r="U64" s="6" t="s">
        <v>26</v>
      </c>
      <c r="V64" s="9" t="s">
        <v>26</v>
      </c>
      <c r="W64" s="6" t="s">
        <v>26</v>
      </c>
      <c r="X64" s="6" t="s">
        <v>26</v>
      </c>
      <c r="Y64" s="6" t="s">
        <v>26</v>
      </c>
      <c r="Z64" s="6" t="s">
        <v>26</v>
      </c>
      <c r="AA64" s="6" t="s">
        <v>26</v>
      </c>
      <c r="AB64" s="6" t="s">
        <v>26</v>
      </c>
      <c r="AC64" s="6" t="s">
        <v>26</v>
      </c>
      <c r="AD64" s="6" t="s">
        <v>26</v>
      </c>
      <c r="AE64" s="6" t="s">
        <v>26</v>
      </c>
      <c r="AF64" s="6" t="s">
        <v>26</v>
      </c>
      <c r="AG64" s="6" t="s">
        <v>26</v>
      </c>
      <c r="AH64" s="6" t="s">
        <v>26</v>
      </c>
      <c r="AI64" s="6" t="s">
        <v>26</v>
      </c>
      <c r="AJ64" s="6" t="s">
        <v>26</v>
      </c>
      <c r="AK64" s="6">
        <v>2.3764478764478798</v>
      </c>
      <c r="AL64" s="5"/>
    </row>
    <row r="65" spans="1:39" x14ac:dyDescent="0.55000000000000004">
      <c r="A65" s="5" t="s">
        <v>200</v>
      </c>
      <c r="B65" s="5" t="s">
        <v>96</v>
      </c>
      <c r="C65" s="5"/>
      <c r="D65" s="6" t="s">
        <v>26</v>
      </c>
      <c r="E65" s="6" t="s">
        <v>26</v>
      </c>
      <c r="F65" s="6" t="s">
        <v>26</v>
      </c>
      <c r="G65" s="6" t="s">
        <v>26</v>
      </c>
      <c r="H65" s="6" t="s">
        <v>26</v>
      </c>
      <c r="I65" s="5" t="s">
        <v>26</v>
      </c>
      <c r="J65" s="6" t="s">
        <v>26</v>
      </c>
      <c r="K65" s="6" t="s">
        <v>26</v>
      </c>
      <c r="L65" s="6" t="s">
        <v>26</v>
      </c>
      <c r="M65" s="6" t="s">
        <v>26</v>
      </c>
      <c r="N65" s="6" t="s">
        <v>26</v>
      </c>
      <c r="O65" s="6" t="s">
        <v>26</v>
      </c>
      <c r="P65" s="6" t="s">
        <v>26</v>
      </c>
      <c r="Q65" s="6" t="s">
        <v>26</v>
      </c>
      <c r="R65" s="6" t="s">
        <v>26</v>
      </c>
      <c r="S65" s="6" t="s">
        <v>26</v>
      </c>
      <c r="T65" s="9" t="s">
        <v>26</v>
      </c>
      <c r="U65" s="6" t="s">
        <v>26</v>
      </c>
      <c r="V65" s="9" t="s">
        <v>26</v>
      </c>
      <c r="W65" s="6" t="s">
        <v>26</v>
      </c>
      <c r="X65" s="6" t="s">
        <v>26</v>
      </c>
      <c r="Y65" s="6" t="s">
        <v>26</v>
      </c>
      <c r="Z65" s="6" t="s">
        <v>26</v>
      </c>
      <c r="AA65" s="6" t="s">
        <v>26</v>
      </c>
      <c r="AB65" s="6" t="s">
        <v>26</v>
      </c>
      <c r="AC65" s="6" t="s">
        <v>26</v>
      </c>
      <c r="AD65" s="6" t="s">
        <v>26</v>
      </c>
      <c r="AE65" s="6" t="s">
        <v>26</v>
      </c>
      <c r="AF65" s="6" t="s">
        <v>26</v>
      </c>
      <c r="AG65" s="6" t="s">
        <v>26</v>
      </c>
      <c r="AH65" s="6" t="s">
        <v>26</v>
      </c>
      <c r="AI65" s="6" t="s">
        <v>26</v>
      </c>
      <c r="AJ65" s="6" t="s">
        <v>26</v>
      </c>
      <c r="AK65" s="6" t="s">
        <v>26</v>
      </c>
      <c r="AL65" s="5"/>
    </row>
    <row r="66" spans="1:39" x14ac:dyDescent="0.55000000000000004">
      <c r="A66" t="s">
        <v>201</v>
      </c>
      <c r="B66" t="s">
        <v>97</v>
      </c>
      <c r="D66" s="4" t="s">
        <v>26</v>
      </c>
      <c r="E66" s="4" t="s">
        <v>26</v>
      </c>
      <c r="F66" s="4" t="s">
        <v>26</v>
      </c>
      <c r="G66" s="4" t="s">
        <v>26</v>
      </c>
      <c r="H66" s="4" t="s">
        <v>26</v>
      </c>
      <c r="I66" t="s">
        <v>26</v>
      </c>
      <c r="J66" s="4">
        <v>100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4" t="s">
        <v>26</v>
      </c>
      <c r="S66" s="4" t="s">
        <v>26</v>
      </c>
      <c r="T66" s="7" t="s">
        <v>26</v>
      </c>
      <c r="U66" s="4" t="s">
        <v>26</v>
      </c>
      <c r="V66" s="7" t="s">
        <v>26</v>
      </c>
      <c r="W66" s="4" t="s">
        <v>26</v>
      </c>
      <c r="X66" s="4" t="s">
        <v>26</v>
      </c>
      <c r="Y66" s="4" t="s">
        <v>26</v>
      </c>
      <c r="Z66" s="4" t="s">
        <v>26</v>
      </c>
      <c r="AA66" s="4" t="s">
        <v>26</v>
      </c>
      <c r="AB66" s="4" t="s">
        <v>26</v>
      </c>
      <c r="AC66" s="4" t="s">
        <v>26</v>
      </c>
      <c r="AD66" s="4" t="s">
        <v>26</v>
      </c>
      <c r="AE66" s="4" t="s">
        <v>26</v>
      </c>
      <c r="AF66" s="4" t="s">
        <v>26</v>
      </c>
      <c r="AG66" s="4" t="s">
        <v>26</v>
      </c>
      <c r="AH66" s="4" t="s">
        <v>26</v>
      </c>
      <c r="AI66" s="4" t="s">
        <v>26</v>
      </c>
      <c r="AJ66" s="4" t="s">
        <v>26</v>
      </c>
      <c r="AK66" s="4">
        <v>2.4</v>
      </c>
    </row>
    <row r="67" spans="1:39" x14ac:dyDescent="0.55000000000000004">
      <c r="A67" t="s">
        <v>202</v>
      </c>
      <c r="B67" t="s">
        <v>98</v>
      </c>
      <c r="D67" s="4" t="s">
        <v>26</v>
      </c>
      <c r="E67" s="4" t="s">
        <v>26</v>
      </c>
      <c r="F67" s="4" t="s">
        <v>26</v>
      </c>
      <c r="G67" s="4" t="s">
        <v>26</v>
      </c>
      <c r="H67" s="4" t="s">
        <v>26</v>
      </c>
      <c r="I67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4" t="s">
        <v>26</v>
      </c>
      <c r="S67" s="4" t="s">
        <v>26</v>
      </c>
      <c r="T67" s="7" t="s">
        <v>26</v>
      </c>
      <c r="U67" s="4" t="s">
        <v>26</v>
      </c>
      <c r="V67" s="7" t="s">
        <v>26</v>
      </c>
      <c r="W67" s="4" t="s">
        <v>26</v>
      </c>
      <c r="X67" s="4" t="s">
        <v>26</v>
      </c>
      <c r="Y67" s="4" t="s">
        <v>26</v>
      </c>
      <c r="Z67" s="4" t="s">
        <v>26</v>
      </c>
      <c r="AA67" s="4" t="s">
        <v>26</v>
      </c>
      <c r="AB67" s="4" t="s">
        <v>26</v>
      </c>
      <c r="AC67" s="4" t="s">
        <v>26</v>
      </c>
      <c r="AD67" s="4" t="s">
        <v>26</v>
      </c>
      <c r="AE67" s="4" t="s">
        <v>26</v>
      </c>
      <c r="AF67" s="4" t="s">
        <v>26</v>
      </c>
      <c r="AG67" s="4" t="s">
        <v>26</v>
      </c>
      <c r="AH67" s="4" t="s">
        <v>26</v>
      </c>
      <c r="AI67" s="4" t="s">
        <v>26</v>
      </c>
      <c r="AJ67" s="4" t="s">
        <v>26</v>
      </c>
      <c r="AK67" s="4">
        <v>2.11</v>
      </c>
    </row>
    <row r="68" spans="1:39" x14ac:dyDescent="0.55000000000000004">
      <c r="A68" t="s">
        <v>203</v>
      </c>
      <c r="B68" t="s">
        <v>99</v>
      </c>
      <c r="D68" s="4" t="s">
        <v>26</v>
      </c>
      <c r="E68" s="4" t="s">
        <v>26</v>
      </c>
      <c r="F68" s="4" t="s">
        <v>26</v>
      </c>
      <c r="G68" s="4" t="s">
        <v>26</v>
      </c>
      <c r="H68" s="4" t="s">
        <v>26</v>
      </c>
      <c r="I68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4" t="s">
        <v>26</v>
      </c>
      <c r="S68" s="4" t="s">
        <v>26</v>
      </c>
      <c r="T68" s="7" t="s">
        <v>26</v>
      </c>
      <c r="U68" s="4" t="s">
        <v>26</v>
      </c>
      <c r="V68" s="7" t="s">
        <v>26</v>
      </c>
      <c r="W68" s="4" t="s">
        <v>26</v>
      </c>
      <c r="X68" s="4" t="s">
        <v>26</v>
      </c>
      <c r="Y68" s="4" t="s">
        <v>26</v>
      </c>
      <c r="Z68" s="4" t="s">
        <v>26</v>
      </c>
      <c r="AA68" s="4" t="s">
        <v>26</v>
      </c>
      <c r="AB68" s="4" t="s">
        <v>26</v>
      </c>
      <c r="AC68" s="4" t="s">
        <v>26</v>
      </c>
      <c r="AD68" s="4" t="s">
        <v>26</v>
      </c>
      <c r="AE68" s="4" t="s">
        <v>26</v>
      </c>
      <c r="AF68" s="4" t="s">
        <v>26</v>
      </c>
      <c r="AG68" s="4" t="s">
        <v>26</v>
      </c>
      <c r="AH68" s="4" t="s">
        <v>26</v>
      </c>
      <c r="AI68" s="4" t="s">
        <v>26</v>
      </c>
      <c r="AJ68" s="4" t="s">
        <v>26</v>
      </c>
      <c r="AK68" s="4">
        <v>2.09</v>
      </c>
    </row>
    <row r="69" spans="1:39" x14ac:dyDescent="0.55000000000000004">
      <c r="A69" t="s">
        <v>204</v>
      </c>
      <c r="B69" t="s">
        <v>100</v>
      </c>
      <c r="D69" s="4" t="s">
        <v>26</v>
      </c>
      <c r="E69" s="4" t="s">
        <v>26</v>
      </c>
      <c r="F69" s="4">
        <v>3.44</v>
      </c>
      <c r="G69" s="4">
        <v>3.98</v>
      </c>
      <c r="H69" s="4">
        <v>8.73</v>
      </c>
      <c r="I69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4" t="s">
        <v>26</v>
      </c>
      <c r="S69" s="4" t="s">
        <v>26</v>
      </c>
      <c r="T69" s="7" t="s">
        <v>26</v>
      </c>
      <c r="U69" s="4" t="s">
        <v>26</v>
      </c>
      <c r="V69" s="7" t="s">
        <v>26</v>
      </c>
      <c r="W69" s="4" t="s">
        <v>26</v>
      </c>
      <c r="X69" s="4" t="s">
        <v>26</v>
      </c>
      <c r="Y69" s="4" t="s">
        <v>26</v>
      </c>
      <c r="Z69" s="4" t="s">
        <v>26</v>
      </c>
      <c r="AA69" s="4" t="s">
        <v>26</v>
      </c>
      <c r="AB69" s="4" t="s">
        <v>26</v>
      </c>
      <c r="AC69" s="4" t="s">
        <v>26</v>
      </c>
      <c r="AD69" s="4" t="s">
        <v>26</v>
      </c>
      <c r="AE69" s="4" t="s">
        <v>26</v>
      </c>
      <c r="AF69" s="4" t="s">
        <v>26</v>
      </c>
      <c r="AG69" s="4" t="s">
        <v>26</v>
      </c>
      <c r="AH69" s="4" t="s">
        <v>26</v>
      </c>
      <c r="AI69" s="4" t="s">
        <v>26</v>
      </c>
      <c r="AJ69" s="4" t="s">
        <v>26</v>
      </c>
      <c r="AK69" s="4" t="s">
        <v>26</v>
      </c>
    </row>
    <row r="70" spans="1:39" x14ac:dyDescent="0.55000000000000004">
      <c r="A70" t="s">
        <v>205</v>
      </c>
      <c r="B70" t="s">
        <v>101</v>
      </c>
      <c r="D70" s="4" t="s">
        <v>26</v>
      </c>
      <c r="E70" s="4" t="s">
        <v>26</v>
      </c>
      <c r="F70" s="4" t="s">
        <v>26</v>
      </c>
      <c r="G70" s="4" t="s">
        <v>26</v>
      </c>
      <c r="H70" s="4" t="s">
        <v>26</v>
      </c>
      <c r="I70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  <c r="T70" s="7" t="s">
        <v>26</v>
      </c>
      <c r="U70" s="4" t="s">
        <v>26</v>
      </c>
      <c r="V70" s="7" t="s">
        <v>26</v>
      </c>
      <c r="W70" s="4" t="s">
        <v>26</v>
      </c>
      <c r="X70" s="4" t="s">
        <v>26</v>
      </c>
      <c r="Y70" s="4" t="s">
        <v>26</v>
      </c>
      <c r="Z70" s="4" t="s">
        <v>26</v>
      </c>
      <c r="AA70" s="4" t="s">
        <v>26</v>
      </c>
      <c r="AB70" s="4" t="s">
        <v>26</v>
      </c>
      <c r="AC70" s="4" t="s">
        <v>26</v>
      </c>
      <c r="AD70" s="4" t="s">
        <v>26</v>
      </c>
      <c r="AE70" s="4" t="s">
        <v>26</v>
      </c>
      <c r="AF70" s="4" t="s">
        <v>26</v>
      </c>
      <c r="AG70" s="4" t="s">
        <v>26</v>
      </c>
      <c r="AH70" s="4" t="s">
        <v>26</v>
      </c>
      <c r="AI70" s="4" t="s">
        <v>26</v>
      </c>
      <c r="AJ70" s="4" t="s">
        <v>26</v>
      </c>
      <c r="AK70" s="4" t="s">
        <v>26</v>
      </c>
    </row>
    <row r="71" spans="1:39" x14ac:dyDescent="0.55000000000000004">
      <c r="A71" t="s">
        <v>206</v>
      </c>
      <c r="B71" t="s">
        <v>102</v>
      </c>
      <c r="D71" s="4">
        <v>43.56</v>
      </c>
      <c r="E71" s="4">
        <v>46.46</v>
      </c>
      <c r="F71" s="4">
        <v>35.270000000000003</v>
      </c>
      <c r="G71" s="4">
        <v>15.71</v>
      </c>
      <c r="H71" s="4">
        <v>40.450000000000003</v>
      </c>
      <c r="I71" t="s">
        <v>26</v>
      </c>
      <c r="J71" s="4" t="s">
        <v>26</v>
      </c>
      <c r="K71" s="4" t="s">
        <v>26</v>
      </c>
      <c r="L71" s="4">
        <v>1.27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4" t="s">
        <v>26</v>
      </c>
      <c r="S71" s="4" t="s">
        <v>26</v>
      </c>
      <c r="T71" s="7" t="s">
        <v>26</v>
      </c>
      <c r="U71" s="4" t="s">
        <v>26</v>
      </c>
      <c r="V71" s="7" t="s">
        <v>26</v>
      </c>
      <c r="W71" s="4" t="s">
        <v>26</v>
      </c>
      <c r="X71" s="4" t="s">
        <v>26</v>
      </c>
      <c r="Y71" s="4" t="s">
        <v>26</v>
      </c>
      <c r="Z71" s="4" t="s">
        <v>26</v>
      </c>
      <c r="AA71" s="4" t="s">
        <v>26</v>
      </c>
      <c r="AB71" s="4" t="s">
        <v>26</v>
      </c>
      <c r="AC71" s="4" t="s">
        <v>26</v>
      </c>
      <c r="AD71" s="4" t="s">
        <v>26</v>
      </c>
      <c r="AE71" s="4" t="s">
        <v>26</v>
      </c>
      <c r="AF71" s="4" t="s">
        <v>26</v>
      </c>
      <c r="AG71" s="4" t="s">
        <v>26</v>
      </c>
      <c r="AH71" s="4" t="s">
        <v>26</v>
      </c>
      <c r="AI71" s="4" t="s">
        <v>26</v>
      </c>
      <c r="AJ71" s="7">
        <v>1.6877934272300468</v>
      </c>
      <c r="AK71" s="4">
        <v>1.6121134020618557</v>
      </c>
    </row>
    <row r="72" spans="1:39" x14ac:dyDescent="0.55000000000000004">
      <c r="A72" t="s">
        <v>207</v>
      </c>
      <c r="B72" t="s">
        <v>103</v>
      </c>
      <c r="D72" s="4">
        <v>100.73</v>
      </c>
      <c r="E72" s="4">
        <v>95.6</v>
      </c>
      <c r="F72" s="4">
        <v>82.47</v>
      </c>
      <c r="G72" s="4">
        <v>29.23</v>
      </c>
      <c r="H72" s="4">
        <v>59.51</v>
      </c>
      <c r="I72" t="s">
        <v>26</v>
      </c>
      <c r="J72" s="4" t="s">
        <v>26</v>
      </c>
      <c r="K72" s="4" t="s">
        <v>26</v>
      </c>
      <c r="L72" s="4">
        <v>0.63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4" t="s">
        <v>26</v>
      </c>
      <c r="S72" s="4" t="s">
        <v>26</v>
      </c>
      <c r="T72" s="7" t="s">
        <v>26</v>
      </c>
      <c r="U72" s="4" t="s">
        <v>26</v>
      </c>
      <c r="V72" s="7" t="s">
        <v>26</v>
      </c>
      <c r="W72" s="4" t="s">
        <v>26</v>
      </c>
      <c r="X72" s="4" t="s">
        <v>26</v>
      </c>
      <c r="Y72" s="4" t="s">
        <v>26</v>
      </c>
      <c r="Z72" s="4" t="s">
        <v>26</v>
      </c>
      <c r="AA72" s="4" t="s">
        <v>26</v>
      </c>
      <c r="AB72" s="4" t="s">
        <v>26</v>
      </c>
      <c r="AC72" s="4" t="s">
        <v>26</v>
      </c>
      <c r="AD72" s="4" t="s">
        <v>26</v>
      </c>
      <c r="AE72" s="4" t="s">
        <v>26</v>
      </c>
      <c r="AF72" s="4" t="s">
        <v>26</v>
      </c>
      <c r="AG72" s="4" t="s">
        <v>26</v>
      </c>
      <c r="AH72" s="4" t="s">
        <v>26</v>
      </c>
      <c r="AI72" s="4" t="s">
        <v>26</v>
      </c>
      <c r="AJ72" s="4" t="s">
        <v>26</v>
      </c>
      <c r="AK72" s="4" t="s">
        <v>26</v>
      </c>
    </row>
    <row r="73" spans="1:39" x14ac:dyDescent="0.55000000000000004">
      <c r="A73" t="s">
        <v>225</v>
      </c>
      <c r="B73" t="s">
        <v>77</v>
      </c>
      <c r="D73" s="4" t="s">
        <v>26</v>
      </c>
      <c r="E73" s="4" t="s">
        <v>26</v>
      </c>
      <c r="F73" s="4" t="s">
        <v>26</v>
      </c>
      <c r="G73" s="4" t="s">
        <v>26</v>
      </c>
      <c r="H73" s="4">
        <v>10.050000000000001</v>
      </c>
      <c r="I73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4" t="s">
        <v>26</v>
      </c>
      <c r="S73" s="4" t="s">
        <v>26</v>
      </c>
      <c r="T73" s="7" t="s">
        <v>26</v>
      </c>
      <c r="U73" s="4" t="s">
        <v>26</v>
      </c>
      <c r="V73" s="7" t="s">
        <v>26</v>
      </c>
      <c r="W73" s="4" t="s">
        <v>26</v>
      </c>
      <c r="X73" s="4" t="s">
        <v>26</v>
      </c>
      <c r="Y73" s="4" t="s">
        <v>26</v>
      </c>
      <c r="Z73" s="4">
        <v>300</v>
      </c>
      <c r="AA73" s="4">
        <v>100</v>
      </c>
      <c r="AB73" s="4" t="s">
        <v>26</v>
      </c>
      <c r="AC73" s="4" t="s">
        <v>26</v>
      </c>
      <c r="AD73" s="4" t="s">
        <v>26</v>
      </c>
      <c r="AE73" s="4" t="s">
        <v>26</v>
      </c>
      <c r="AF73" s="4" t="s">
        <v>26</v>
      </c>
      <c r="AG73" s="4" t="s">
        <v>26</v>
      </c>
      <c r="AH73" s="4" t="s">
        <v>26</v>
      </c>
      <c r="AI73" s="4" t="s">
        <v>26</v>
      </c>
      <c r="AJ73" s="4" t="s">
        <v>26</v>
      </c>
      <c r="AK73" s="4" t="s">
        <v>26</v>
      </c>
    </row>
    <row r="74" spans="1:39" x14ac:dyDescent="0.55000000000000004">
      <c r="A74" t="s">
        <v>226</v>
      </c>
      <c r="B74" t="s">
        <v>78</v>
      </c>
      <c r="D74" s="4" t="s">
        <v>26</v>
      </c>
      <c r="E74" s="4" t="s">
        <v>26</v>
      </c>
      <c r="F74" s="4" t="s">
        <v>26</v>
      </c>
      <c r="G74" s="4" t="s">
        <v>26</v>
      </c>
      <c r="H74" s="4" t="s">
        <v>26</v>
      </c>
      <c r="I7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4" t="s">
        <v>26</v>
      </c>
      <c r="S74" s="4" t="s">
        <v>26</v>
      </c>
      <c r="T74" s="7" t="s">
        <v>26</v>
      </c>
      <c r="U74" s="4" t="s">
        <v>26</v>
      </c>
      <c r="V74" s="7" t="s">
        <v>26</v>
      </c>
      <c r="W74" s="4" t="s">
        <v>26</v>
      </c>
      <c r="X74" s="4" t="s">
        <v>26</v>
      </c>
      <c r="Y74" s="4" t="s">
        <v>26</v>
      </c>
      <c r="Z74" s="4">
        <v>300</v>
      </c>
      <c r="AA74" s="4">
        <v>100</v>
      </c>
      <c r="AB74" s="4" t="s">
        <v>26</v>
      </c>
      <c r="AC74" s="4" t="s">
        <v>26</v>
      </c>
      <c r="AD74" s="4" t="s">
        <v>26</v>
      </c>
      <c r="AE74" s="4" t="s">
        <v>26</v>
      </c>
      <c r="AF74" s="4" t="s">
        <v>26</v>
      </c>
      <c r="AG74" s="4" t="s">
        <v>26</v>
      </c>
      <c r="AH74" s="4" t="s">
        <v>26</v>
      </c>
      <c r="AI74" s="4" t="s">
        <v>26</v>
      </c>
      <c r="AJ74" s="4" t="s">
        <v>26</v>
      </c>
      <c r="AK74" s="4" t="s">
        <v>26</v>
      </c>
    </row>
    <row r="75" spans="1:39" x14ac:dyDescent="0.55000000000000004">
      <c r="A75" s="5" t="s">
        <v>104</v>
      </c>
      <c r="B75" s="5" t="s">
        <v>105</v>
      </c>
      <c r="C75" s="5"/>
      <c r="D75" s="6" t="s">
        <v>26</v>
      </c>
      <c r="E75" s="6" t="s">
        <v>26</v>
      </c>
      <c r="F75" s="6" t="s">
        <v>26</v>
      </c>
      <c r="G75" s="6" t="s">
        <v>26</v>
      </c>
      <c r="H75" s="6" t="s">
        <v>26</v>
      </c>
      <c r="I75" s="5" t="s">
        <v>26</v>
      </c>
      <c r="J75" s="6" t="s">
        <v>26</v>
      </c>
      <c r="K75" s="6" t="s">
        <v>26</v>
      </c>
      <c r="L75" s="6">
        <v>0.8</v>
      </c>
      <c r="M75" s="6" t="s">
        <v>26</v>
      </c>
      <c r="N75" s="6" t="s">
        <v>26</v>
      </c>
      <c r="O75" s="6" t="s">
        <v>26</v>
      </c>
      <c r="P75" s="6" t="s">
        <v>26</v>
      </c>
      <c r="Q75" s="6" t="s">
        <v>26</v>
      </c>
      <c r="R75" s="6" t="s">
        <v>26</v>
      </c>
      <c r="S75" s="6" t="s">
        <v>26</v>
      </c>
      <c r="T75" s="9" t="s">
        <v>26</v>
      </c>
      <c r="U75" s="6" t="s">
        <v>26</v>
      </c>
      <c r="V75" s="9" t="s">
        <v>26</v>
      </c>
      <c r="W75" s="6" t="s">
        <v>26</v>
      </c>
      <c r="X75" s="6" t="s">
        <v>26</v>
      </c>
      <c r="Y75" s="6" t="s">
        <v>26</v>
      </c>
      <c r="Z75" s="6">
        <v>300</v>
      </c>
      <c r="AA75" s="6">
        <v>100</v>
      </c>
      <c r="AB75" s="6" t="s">
        <v>26</v>
      </c>
      <c r="AC75" s="6" t="s">
        <v>26</v>
      </c>
      <c r="AD75" s="6" t="s">
        <v>26</v>
      </c>
      <c r="AE75" s="6" t="s">
        <v>26</v>
      </c>
      <c r="AF75" s="6" t="s">
        <v>26</v>
      </c>
      <c r="AG75" s="6" t="s">
        <v>26</v>
      </c>
      <c r="AH75" s="6" t="s">
        <v>26</v>
      </c>
      <c r="AI75" s="6" t="s">
        <v>26</v>
      </c>
      <c r="AJ75" s="6" t="s">
        <v>26</v>
      </c>
      <c r="AK75" s="6" t="s">
        <v>26</v>
      </c>
      <c r="AL75" s="5"/>
      <c r="AM75" s="5"/>
    </row>
    <row r="76" spans="1:39" x14ac:dyDescent="0.55000000000000004">
      <c r="A76" t="s">
        <v>208</v>
      </c>
      <c r="B76" t="s">
        <v>106</v>
      </c>
      <c r="D76" s="6">
        <v>6.5659999999999998</v>
      </c>
      <c r="E76" s="6" t="s">
        <v>26</v>
      </c>
      <c r="F76" s="6">
        <v>30.51</v>
      </c>
      <c r="G76" s="6">
        <v>52.280999999999999</v>
      </c>
      <c r="H76" s="6">
        <v>3.2610000000000001</v>
      </c>
      <c r="I76" s="5" t="s">
        <v>26</v>
      </c>
      <c r="J76" s="6" t="s">
        <v>26</v>
      </c>
      <c r="K76" s="6" t="s">
        <v>26</v>
      </c>
      <c r="L76" s="6">
        <v>0.84599999999999997</v>
      </c>
      <c r="M76" s="6" t="s">
        <v>26</v>
      </c>
      <c r="N76" s="6" t="s">
        <v>26</v>
      </c>
      <c r="O76" s="6" t="s">
        <v>26</v>
      </c>
      <c r="P76" s="6" t="s">
        <v>26</v>
      </c>
      <c r="Q76" s="6">
        <v>800</v>
      </c>
      <c r="R76" s="6" t="s">
        <v>26</v>
      </c>
      <c r="S76" s="6">
        <v>5.6079999999999997</v>
      </c>
      <c r="T76" s="9" t="s">
        <v>26</v>
      </c>
      <c r="U76" s="6">
        <v>1100</v>
      </c>
      <c r="V76" s="9">
        <v>0</v>
      </c>
      <c r="W76" s="6">
        <v>20.131</v>
      </c>
      <c r="X76" s="6">
        <v>0</v>
      </c>
      <c r="Y76" s="6" t="s">
        <v>26</v>
      </c>
      <c r="Z76" s="6">
        <v>400</v>
      </c>
      <c r="AA76" s="6">
        <v>100</v>
      </c>
      <c r="AB76" s="6" t="s">
        <v>26</v>
      </c>
      <c r="AC76" s="6" t="s">
        <v>26</v>
      </c>
      <c r="AD76" s="6" t="s">
        <v>26</v>
      </c>
      <c r="AE76" s="6" t="s">
        <v>26</v>
      </c>
      <c r="AF76" s="6" t="s">
        <v>26</v>
      </c>
      <c r="AG76" s="6" t="s">
        <v>26</v>
      </c>
      <c r="AH76" s="6" t="s">
        <v>26</v>
      </c>
      <c r="AI76" s="6" t="s">
        <v>26</v>
      </c>
      <c r="AJ76" s="6">
        <v>18.600000000000001</v>
      </c>
      <c r="AK76" s="6">
        <v>9.6999999999999993</v>
      </c>
      <c r="AL76" s="5"/>
      <c r="AM76" s="5"/>
    </row>
    <row r="77" spans="1:39" x14ac:dyDescent="0.55000000000000004">
      <c r="A77" s="4" t="s">
        <v>208</v>
      </c>
      <c r="B77" s="4" t="s">
        <v>107</v>
      </c>
      <c r="C77" s="4"/>
      <c r="D77" s="4">
        <v>3.6</v>
      </c>
      <c r="E77" s="4" t="s">
        <v>26</v>
      </c>
      <c r="F77" s="4">
        <v>18.350000000000001</v>
      </c>
      <c r="G77" s="4">
        <v>43.55</v>
      </c>
      <c r="H77" s="4" t="s">
        <v>26</v>
      </c>
      <c r="I77" s="4" t="s">
        <v>26</v>
      </c>
      <c r="J77" s="4" t="s">
        <v>26</v>
      </c>
      <c r="K77" s="4" t="s">
        <v>26</v>
      </c>
      <c r="L77" s="4">
        <v>0.83799999999999997</v>
      </c>
      <c r="M77" s="4" t="s">
        <v>26</v>
      </c>
      <c r="N77" s="4" t="s">
        <v>26</v>
      </c>
      <c r="O77" s="4" t="s">
        <v>26</v>
      </c>
      <c r="P77" s="4" t="s">
        <v>26</v>
      </c>
      <c r="Q77" s="4">
        <v>100</v>
      </c>
      <c r="R77" s="4" t="s">
        <v>26</v>
      </c>
      <c r="S77" s="4">
        <v>7.3</v>
      </c>
      <c r="T77" s="7" t="s">
        <v>26</v>
      </c>
      <c r="U77" s="4">
        <v>0</v>
      </c>
      <c r="V77" s="7" t="s">
        <v>26</v>
      </c>
      <c r="W77" s="4" t="s">
        <v>26</v>
      </c>
      <c r="X77" s="4">
        <v>0</v>
      </c>
      <c r="Y77" s="4" t="s">
        <v>26</v>
      </c>
      <c r="Z77" s="4">
        <v>400</v>
      </c>
      <c r="AA77" s="4">
        <v>100</v>
      </c>
      <c r="AB77" s="4" t="s">
        <v>26</v>
      </c>
      <c r="AC77" s="7" t="s">
        <v>26</v>
      </c>
      <c r="AD77" s="4" t="s">
        <v>26</v>
      </c>
      <c r="AE77" s="4" t="s">
        <v>26</v>
      </c>
      <c r="AF77" s="4" t="s">
        <v>26</v>
      </c>
      <c r="AG77" s="4" t="s">
        <v>26</v>
      </c>
      <c r="AH77" s="4" t="s">
        <v>26</v>
      </c>
      <c r="AI77" s="4" t="s">
        <v>26</v>
      </c>
      <c r="AJ77" s="4">
        <v>4.8</v>
      </c>
      <c r="AK77" s="4">
        <v>2.2999999999999998</v>
      </c>
      <c r="AL77" s="4"/>
      <c r="AM77" s="4"/>
    </row>
    <row r="78" spans="1:39" x14ac:dyDescent="0.55000000000000004">
      <c r="A78" s="4" t="s">
        <v>209</v>
      </c>
      <c r="B78" s="4" t="s">
        <v>108</v>
      </c>
      <c r="C78" s="4"/>
      <c r="D78" s="4" t="s">
        <v>26</v>
      </c>
      <c r="E78" s="4" t="s">
        <v>26</v>
      </c>
      <c r="F78" s="7">
        <v>1.7</v>
      </c>
      <c r="G78" s="7">
        <v>1.5089999999999999</v>
      </c>
      <c r="H78" s="4" t="s">
        <v>26</v>
      </c>
      <c r="I78" s="4" t="s">
        <v>26</v>
      </c>
      <c r="J78" s="4" t="s">
        <v>26</v>
      </c>
      <c r="K78" s="4" t="s">
        <v>26</v>
      </c>
      <c r="L78" s="4">
        <v>0.85399999999999998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4" t="s">
        <v>26</v>
      </c>
      <c r="S78" s="4" t="s">
        <v>26</v>
      </c>
      <c r="T78" s="7" t="s">
        <v>26</v>
      </c>
      <c r="U78" s="4" t="s">
        <v>26</v>
      </c>
      <c r="V78" s="7" t="s">
        <v>26</v>
      </c>
      <c r="W78" s="4" t="s">
        <v>26</v>
      </c>
      <c r="X78" s="4">
        <v>0</v>
      </c>
      <c r="Y78" s="4" t="s">
        <v>26</v>
      </c>
      <c r="Z78" s="4">
        <v>300</v>
      </c>
      <c r="AA78" s="4" t="s">
        <v>26</v>
      </c>
      <c r="AB78" s="4" t="s">
        <v>26</v>
      </c>
      <c r="AC78" s="4" t="s">
        <v>26</v>
      </c>
      <c r="AD78" s="4" t="s">
        <v>26</v>
      </c>
      <c r="AE78" s="4">
        <v>0.372</v>
      </c>
      <c r="AF78" s="4" t="s">
        <v>26</v>
      </c>
      <c r="AG78" s="4" t="s">
        <v>26</v>
      </c>
      <c r="AH78" s="4" t="s">
        <v>26</v>
      </c>
      <c r="AI78" s="4" t="s">
        <v>26</v>
      </c>
      <c r="AJ78" s="4">
        <v>7.2</v>
      </c>
      <c r="AK78" s="4">
        <v>5.2</v>
      </c>
      <c r="AL78" s="4"/>
      <c r="AM78" s="4"/>
    </row>
    <row r="79" spans="1:39" x14ac:dyDescent="0.55000000000000004">
      <c r="A79" s="4" t="s">
        <v>104</v>
      </c>
      <c r="B79" s="4" t="s">
        <v>109</v>
      </c>
      <c r="C79" s="4"/>
      <c r="D79" s="4">
        <v>7.3</v>
      </c>
      <c r="E79" s="7">
        <v>1.5</v>
      </c>
      <c r="F79" s="4">
        <v>19.3</v>
      </c>
      <c r="G79" s="4">
        <v>14.9</v>
      </c>
      <c r="H79" s="4" t="s">
        <v>26</v>
      </c>
      <c r="I79" s="4" t="s">
        <v>26</v>
      </c>
      <c r="J79" s="4" t="s">
        <v>26</v>
      </c>
      <c r="K79" s="4" t="s">
        <v>26</v>
      </c>
      <c r="L79" s="4">
        <v>0.83199999999999996</v>
      </c>
      <c r="M79" s="4" t="s">
        <v>26</v>
      </c>
      <c r="N79" s="4" t="s">
        <v>26</v>
      </c>
      <c r="O79" s="4" t="s">
        <v>26</v>
      </c>
      <c r="P79" s="4" t="s">
        <v>26</v>
      </c>
      <c r="Q79" s="4">
        <v>100</v>
      </c>
      <c r="R79" s="4" t="s">
        <v>26</v>
      </c>
      <c r="S79" s="4">
        <v>0</v>
      </c>
      <c r="T79" s="7" t="s">
        <v>26</v>
      </c>
      <c r="U79" s="4">
        <v>0</v>
      </c>
      <c r="V79" s="7" t="s">
        <v>26</v>
      </c>
      <c r="W79" s="4" t="s">
        <v>26</v>
      </c>
      <c r="X79" s="4" t="s">
        <v>26</v>
      </c>
      <c r="Y79" s="4" t="s">
        <v>26</v>
      </c>
      <c r="Z79" s="4" t="s">
        <v>26</v>
      </c>
      <c r="AA79" s="4" t="s">
        <v>26</v>
      </c>
      <c r="AB79" s="4" t="s">
        <v>26</v>
      </c>
      <c r="AC79" s="4">
        <v>2.1</v>
      </c>
      <c r="AD79" s="4" t="s">
        <v>26</v>
      </c>
      <c r="AE79" s="4" t="s">
        <v>26</v>
      </c>
      <c r="AF79" s="4" t="s">
        <v>26</v>
      </c>
      <c r="AG79" s="4" t="s">
        <v>26</v>
      </c>
      <c r="AH79" s="4" t="s">
        <v>26</v>
      </c>
      <c r="AI79" s="4" t="s">
        <v>26</v>
      </c>
      <c r="AJ79" s="4">
        <v>3.1</v>
      </c>
      <c r="AK79" s="4">
        <v>3.7389999999999999</v>
      </c>
      <c r="AL79" s="4"/>
      <c r="AM79" s="4"/>
    </row>
    <row r="80" spans="1:39" x14ac:dyDescent="0.55000000000000004">
      <c r="A80" s="4" t="s">
        <v>104</v>
      </c>
      <c r="B80" s="4" t="s">
        <v>110</v>
      </c>
      <c r="C80" s="4"/>
      <c r="D80" s="4" t="s">
        <v>26</v>
      </c>
      <c r="E80" s="4" t="s">
        <v>26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4" t="s">
        <v>26</v>
      </c>
      <c r="S80" s="4" t="s">
        <v>26</v>
      </c>
      <c r="T80" s="7" t="s">
        <v>26</v>
      </c>
      <c r="U80" s="4" t="s">
        <v>26</v>
      </c>
      <c r="V80" s="7" t="s">
        <v>26</v>
      </c>
      <c r="W80" s="4" t="s">
        <v>26</v>
      </c>
      <c r="X80" s="4" t="s">
        <v>26</v>
      </c>
      <c r="Y80" s="4" t="s">
        <v>26</v>
      </c>
      <c r="Z80" s="4" t="s">
        <v>26</v>
      </c>
      <c r="AA80" s="4" t="s">
        <v>26</v>
      </c>
      <c r="AB80" s="4" t="s">
        <v>26</v>
      </c>
      <c r="AC80" s="4" t="s">
        <v>26</v>
      </c>
      <c r="AD80" s="4" t="s">
        <v>26</v>
      </c>
      <c r="AE80" s="4" t="s">
        <v>26</v>
      </c>
      <c r="AF80" s="4" t="s">
        <v>26</v>
      </c>
      <c r="AG80" s="4" t="s">
        <v>26</v>
      </c>
      <c r="AH80" s="4" t="s">
        <v>26</v>
      </c>
      <c r="AI80" s="4" t="s">
        <v>26</v>
      </c>
      <c r="AJ80" s="4" t="s">
        <v>26</v>
      </c>
      <c r="AK80" s="4" t="s">
        <v>26</v>
      </c>
      <c r="AL80" s="4"/>
      <c r="AM80" s="4"/>
    </row>
    <row r="81" spans="1:39" x14ac:dyDescent="0.55000000000000004">
      <c r="A81" s="4" t="s">
        <v>104</v>
      </c>
      <c r="B81" s="4" t="s">
        <v>111</v>
      </c>
      <c r="C81" s="4"/>
      <c r="D81" s="4" t="s">
        <v>26</v>
      </c>
      <c r="E81" s="4" t="s">
        <v>26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4" t="s">
        <v>26</v>
      </c>
      <c r="S81" s="4" t="s">
        <v>26</v>
      </c>
      <c r="T81" s="7" t="s">
        <v>26</v>
      </c>
      <c r="U81" s="4" t="s">
        <v>26</v>
      </c>
      <c r="V81" s="7" t="s">
        <v>26</v>
      </c>
      <c r="W81" s="4" t="s">
        <v>26</v>
      </c>
      <c r="X81" s="4" t="s">
        <v>26</v>
      </c>
      <c r="Y81" s="4" t="s">
        <v>26</v>
      </c>
      <c r="Z81" s="4" t="s">
        <v>26</v>
      </c>
      <c r="AA81" s="4" t="s">
        <v>26</v>
      </c>
      <c r="AB81" s="4" t="s">
        <v>26</v>
      </c>
      <c r="AC81" s="4" t="s">
        <v>26</v>
      </c>
      <c r="AD81" s="4" t="s">
        <v>26</v>
      </c>
      <c r="AE81" s="4" t="s">
        <v>26</v>
      </c>
      <c r="AF81" s="4" t="s">
        <v>26</v>
      </c>
      <c r="AG81" s="4" t="s">
        <v>26</v>
      </c>
      <c r="AH81" s="4" t="s">
        <v>26</v>
      </c>
      <c r="AI81" s="4" t="s">
        <v>26</v>
      </c>
      <c r="AJ81" s="4">
        <v>4.3</v>
      </c>
      <c r="AK81" s="4">
        <v>9.3000000000000007</v>
      </c>
      <c r="AL81" s="4"/>
      <c r="AM81" s="4"/>
    </row>
    <row r="82" spans="1:39" x14ac:dyDescent="0.55000000000000004">
      <c r="A82" t="s">
        <v>104</v>
      </c>
      <c r="B82" t="s">
        <v>112</v>
      </c>
      <c r="D82" s="4" t="s">
        <v>26</v>
      </c>
      <c r="E82" s="4" t="s">
        <v>26</v>
      </c>
      <c r="F82" s="6">
        <v>2.6</v>
      </c>
      <c r="G82" s="6">
        <v>25.1</v>
      </c>
      <c r="H82" s="6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4" t="s">
        <v>26</v>
      </c>
      <c r="S82" s="4" t="s">
        <v>26</v>
      </c>
      <c r="T82" s="7" t="s">
        <v>26</v>
      </c>
      <c r="U82" s="4" t="s">
        <v>26</v>
      </c>
      <c r="V82" s="7" t="s">
        <v>26</v>
      </c>
      <c r="W82" s="4" t="s">
        <v>26</v>
      </c>
      <c r="X82" s="4" t="s">
        <v>26</v>
      </c>
      <c r="Y82" s="4" t="s">
        <v>26</v>
      </c>
      <c r="Z82" s="4" t="s">
        <v>26</v>
      </c>
      <c r="AA82" s="4" t="s">
        <v>26</v>
      </c>
      <c r="AB82" s="4" t="s">
        <v>26</v>
      </c>
      <c r="AC82" s="4" t="s">
        <v>26</v>
      </c>
      <c r="AD82" s="4" t="s">
        <v>26</v>
      </c>
      <c r="AE82" s="4" t="s">
        <v>26</v>
      </c>
      <c r="AF82" s="4" t="s">
        <v>26</v>
      </c>
      <c r="AG82" s="4" t="s">
        <v>26</v>
      </c>
      <c r="AH82" s="4" t="s">
        <v>26</v>
      </c>
      <c r="AI82" s="4" t="s">
        <v>26</v>
      </c>
      <c r="AJ82" s="4" t="s">
        <v>26</v>
      </c>
      <c r="AK82" s="4">
        <v>3.2</v>
      </c>
      <c r="AL82" s="4"/>
      <c r="AM82" s="4"/>
    </row>
    <row r="83" spans="1:39" x14ac:dyDescent="0.55000000000000004">
      <c r="A83" t="s">
        <v>104</v>
      </c>
      <c r="B83" t="s">
        <v>113</v>
      </c>
      <c r="D83" s="4" t="s">
        <v>26</v>
      </c>
      <c r="E83" s="4" t="s">
        <v>26</v>
      </c>
      <c r="F83" s="6">
        <v>5.5</v>
      </c>
      <c r="G83" s="6">
        <v>22.2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4" t="s">
        <v>26</v>
      </c>
      <c r="S83" s="4" t="s">
        <v>26</v>
      </c>
      <c r="T83" s="7" t="s">
        <v>26</v>
      </c>
      <c r="U83" s="4" t="s">
        <v>26</v>
      </c>
      <c r="V83" s="7" t="s">
        <v>26</v>
      </c>
      <c r="W83" s="4" t="s">
        <v>26</v>
      </c>
      <c r="X83" s="4" t="s">
        <v>26</v>
      </c>
      <c r="Y83" s="4" t="s">
        <v>26</v>
      </c>
      <c r="Z83" s="4" t="s">
        <v>26</v>
      </c>
      <c r="AA83" s="4" t="s">
        <v>26</v>
      </c>
      <c r="AB83" s="4" t="s">
        <v>26</v>
      </c>
      <c r="AC83" s="4" t="s">
        <v>26</v>
      </c>
      <c r="AD83" s="4" t="s">
        <v>26</v>
      </c>
      <c r="AE83" s="4" t="s">
        <v>26</v>
      </c>
      <c r="AF83" s="4" t="s">
        <v>26</v>
      </c>
      <c r="AG83" s="4" t="s">
        <v>26</v>
      </c>
      <c r="AH83" s="4" t="s">
        <v>26</v>
      </c>
      <c r="AI83" s="4" t="s">
        <v>26</v>
      </c>
      <c r="AJ83" s="4" t="s">
        <v>26</v>
      </c>
      <c r="AK83" s="4" t="s">
        <v>26</v>
      </c>
      <c r="AL83" s="4"/>
      <c r="AM83" s="4"/>
    </row>
    <row r="84" spans="1:39" x14ac:dyDescent="0.55000000000000004">
      <c r="A84" t="s">
        <v>104</v>
      </c>
      <c r="B84" t="s">
        <v>114</v>
      </c>
      <c r="D84" s="4" t="s">
        <v>26</v>
      </c>
      <c r="E84" s="4" t="s">
        <v>26</v>
      </c>
      <c r="F84" s="6">
        <v>13.6</v>
      </c>
      <c r="G84" s="6">
        <v>81.7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4" t="s">
        <v>26</v>
      </c>
      <c r="S84" s="4" t="s">
        <v>26</v>
      </c>
      <c r="T84" s="7" t="s">
        <v>26</v>
      </c>
      <c r="U84" s="4" t="s">
        <v>26</v>
      </c>
      <c r="V84" s="7" t="s">
        <v>26</v>
      </c>
      <c r="W84" s="4" t="s">
        <v>26</v>
      </c>
      <c r="X84" s="4" t="s">
        <v>26</v>
      </c>
      <c r="Y84" s="4" t="s">
        <v>26</v>
      </c>
      <c r="Z84" s="4" t="s">
        <v>26</v>
      </c>
      <c r="AA84" s="4" t="s">
        <v>26</v>
      </c>
      <c r="AB84" s="4" t="s">
        <v>26</v>
      </c>
      <c r="AC84" s="4" t="s">
        <v>26</v>
      </c>
      <c r="AD84" s="4" t="s">
        <v>26</v>
      </c>
      <c r="AE84" s="4" t="s">
        <v>26</v>
      </c>
      <c r="AF84" s="4" t="s">
        <v>26</v>
      </c>
      <c r="AG84" s="4" t="s">
        <v>26</v>
      </c>
      <c r="AH84" s="4" t="s">
        <v>26</v>
      </c>
      <c r="AI84" s="4" t="s">
        <v>26</v>
      </c>
      <c r="AJ84" s="4">
        <v>28.4</v>
      </c>
      <c r="AK84" s="4">
        <v>29.8</v>
      </c>
      <c r="AL84" s="4"/>
      <c r="AM84" s="4"/>
    </row>
    <row r="85" spans="1:39" x14ac:dyDescent="0.55000000000000004">
      <c r="A85" s="6" t="s">
        <v>210</v>
      </c>
      <c r="B85" s="6" t="s">
        <v>115</v>
      </c>
      <c r="C85" s="6"/>
      <c r="D85" s="6" t="s">
        <v>26</v>
      </c>
      <c r="E85" s="6" t="s">
        <v>26</v>
      </c>
      <c r="F85" s="6" t="s">
        <v>26</v>
      </c>
      <c r="G85" s="6" t="s">
        <v>26</v>
      </c>
      <c r="H85" s="6" t="s">
        <v>26</v>
      </c>
      <c r="I85" s="6" t="s">
        <v>26</v>
      </c>
      <c r="J85" s="6" t="s">
        <v>26</v>
      </c>
      <c r="K85" s="6" t="s">
        <v>26</v>
      </c>
      <c r="L85" s="6">
        <v>0.94199999999999995</v>
      </c>
      <c r="M85" s="6" t="s">
        <v>26</v>
      </c>
      <c r="N85" s="6" t="s">
        <v>26</v>
      </c>
      <c r="O85" s="6" t="s">
        <v>26</v>
      </c>
      <c r="P85" s="6" t="s">
        <v>26</v>
      </c>
      <c r="Q85" s="6" t="s">
        <v>26</v>
      </c>
      <c r="R85" s="6" t="s">
        <v>26</v>
      </c>
      <c r="S85" s="6" t="s">
        <v>26</v>
      </c>
      <c r="T85" s="9" t="s">
        <v>26</v>
      </c>
      <c r="U85" s="6" t="s">
        <v>26</v>
      </c>
      <c r="V85" s="9" t="s">
        <v>26</v>
      </c>
      <c r="W85" s="6" t="s">
        <v>26</v>
      </c>
      <c r="X85" s="6">
        <v>0</v>
      </c>
      <c r="Y85" s="6" t="s">
        <v>26</v>
      </c>
      <c r="Z85" s="6" t="s">
        <v>26</v>
      </c>
      <c r="AA85" s="6" t="s">
        <v>26</v>
      </c>
      <c r="AB85" s="6" t="s">
        <v>26</v>
      </c>
      <c r="AC85" s="9" t="s">
        <v>26</v>
      </c>
      <c r="AD85" s="6" t="s">
        <v>26</v>
      </c>
      <c r="AE85" s="6" t="s">
        <v>26</v>
      </c>
      <c r="AF85" s="6" t="s">
        <v>26</v>
      </c>
      <c r="AG85" s="6" t="s">
        <v>26</v>
      </c>
      <c r="AH85" s="6" t="s">
        <v>26</v>
      </c>
      <c r="AI85" s="6" t="s">
        <v>26</v>
      </c>
      <c r="AJ85" s="6" t="s">
        <v>26</v>
      </c>
      <c r="AK85" s="6" t="s">
        <v>26</v>
      </c>
      <c r="AL85" s="6"/>
      <c r="AM85" s="4"/>
    </row>
    <row r="86" spans="1:39" x14ac:dyDescent="0.55000000000000004">
      <c r="A86" s="4" t="s">
        <v>210</v>
      </c>
      <c r="B86" s="4" t="s">
        <v>116</v>
      </c>
      <c r="C86" s="4"/>
      <c r="D86" s="4" t="s">
        <v>26</v>
      </c>
      <c r="E86" s="4" t="s">
        <v>26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>
        <v>1.3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4" t="s">
        <v>26</v>
      </c>
      <c r="S86" s="4" t="s">
        <v>26</v>
      </c>
      <c r="T86" s="7" t="s">
        <v>26</v>
      </c>
      <c r="U86" s="4" t="s">
        <v>26</v>
      </c>
      <c r="V86" s="7" t="s">
        <v>26</v>
      </c>
      <c r="W86" s="4" t="s">
        <v>26</v>
      </c>
      <c r="X86" s="4">
        <v>0</v>
      </c>
      <c r="Y86" s="4" t="s">
        <v>26</v>
      </c>
      <c r="Z86" s="4" t="s">
        <v>26</v>
      </c>
      <c r="AA86" s="4" t="s">
        <v>26</v>
      </c>
      <c r="AB86" s="4" t="s">
        <v>26</v>
      </c>
      <c r="AC86" s="7" t="s">
        <v>26</v>
      </c>
      <c r="AD86" s="6" t="s">
        <v>26</v>
      </c>
      <c r="AE86" s="4" t="s">
        <v>26</v>
      </c>
      <c r="AF86" s="4" t="s">
        <v>26</v>
      </c>
      <c r="AG86" s="4" t="s">
        <v>26</v>
      </c>
      <c r="AH86" s="4" t="s">
        <v>26</v>
      </c>
      <c r="AI86" s="4" t="s">
        <v>26</v>
      </c>
      <c r="AJ86" s="4" t="s">
        <v>26</v>
      </c>
      <c r="AK86" s="4" t="s">
        <v>26</v>
      </c>
      <c r="AL86" s="4"/>
      <c r="AM86" s="4"/>
    </row>
    <row r="87" spans="1:39" x14ac:dyDescent="0.55000000000000004">
      <c r="A87" t="s">
        <v>211</v>
      </c>
      <c r="B87" t="s">
        <v>117</v>
      </c>
      <c r="D87" s="6">
        <v>9.5500914913083257</v>
      </c>
      <c r="E87" s="6">
        <v>11.294027565084226</v>
      </c>
      <c r="F87" s="6">
        <v>6.0369253956292397</v>
      </c>
      <c r="G87" s="6">
        <v>5.8231368186874306</v>
      </c>
      <c r="H87" s="6">
        <v>3.0765689734540431</v>
      </c>
      <c r="I87" s="4" t="s">
        <v>26</v>
      </c>
      <c r="J87" s="4" t="s">
        <v>26</v>
      </c>
      <c r="K87" s="4" t="s">
        <v>26</v>
      </c>
      <c r="L87" s="6">
        <v>1.1340652173913044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4" t="s">
        <v>26</v>
      </c>
      <c r="S87" s="4" t="s">
        <v>26</v>
      </c>
      <c r="T87" s="7" t="s">
        <v>26</v>
      </c>
      <c r="U87" s="4" t="s">
        <v>26</v>
      </c>
      <c r="V87" s="7" t="s">
        <v>26</v>
      </c>
      <c r="W87" s="4" t="s">
        <v>26</v>
      </c>
      <c r="X87" s="4" t="s">
        <v>26</v>
      </c>
      <c r="Y87" s="4" t="s">
        <v>26</v>
      </c>
      <c r="Z87" s="4" t="s">
        <v>26</v>
      </c>
      <c r="AA87" s="4" t="s">
        <v>26</v>
      </c>
      <c r="AB87" s="4" t="s">
        <v>26</v>
      </c>
      <c r="AC87" s="7" t="s">
        <v>26</v>
      </c>
      <c r="AD87" s="4" t="s">
        <v>26</v>
      </c>
      <c r="AE87" s="4" t="s">
        <v>26</v>
      </c>
      <c r="AF87" s="4" t="s">
        <v>26</v>
      </c>
      <c r="AG87" s="4" t="s">
        <v>26</v>
      </c>
      <c r="AH87" s="4" t="s">
        <v>26</v>
      </c>
      <c r="AI87" s="4" t="s">
        <v>26</v>
      </c>
      <c r="AJ87" s="4" t="s">
        <v>26</v>
      </c>
      <c r="AK87" s="4" t="s">
        <v>26</v>
      </c>
    </row>
    <row r="88" spans="1:39" x14ac:dyDescent="0.55000000000000004">
      <c r="A88" s="5" t="s">
        <v>212</v>
      </c>
      <c r="B88" s="5" t="s">
        <v>118</v>
      </c>
      <c r="C88" s="5"/>
      <c r="D88" s="6" t="s">
        <v>26</v>
      </c>
      <c r="E88" s="6" t="s">
        <v>26</v>
      </c>
      <c r="F88" s="6" t="s">
        <v>26</v>
      </c>
      <c r="G88" s="6" t="s">
        <v>26</v>
      </c>
      <c r="H88" s="6" t="s">
        <v>26</v>
      </c>
      <c r="I88" s="6" t="s">
        <v>26</v>
      </c>
      <c r="J88" s="6" t="s">
        <v>26</v>
      </c>
      <c r="K88" s="6" t="s">
        <v>26</v>
      </c>
      <c r="L88" s="6">
        <v>0.8</v>
      </c>
      <c r="M88" s="6" t="s">
        <v>26</v>
      </c>
      <c r="N88" s="6" t="s">
        <v>26</v>
      </c>
      <c r="O88" s="6" t="s">
        <v>26</v>
      </c>
      <c r="P88" s="6" t="s">
        <v>26</v>
      </c>
      <c r="Q88" s="6" t="s">
        <v>26</v>
      </c>
      <c r="R88" s="6" t="s">
        <v>26</v>
      </c>
      <c r="S88" s="6" t="s">
        <v>26</v>
      </c>
      <c r="T88" s="9" t="s">
        <v>26</v>
      </c>
      <c r="U88" s="6" t="s">
        <v>26</v>
      </c>
      <c r="V88" s="9" t="s">
        <v>26</v>
      </c>
      <c r="W88" s="6" t="s">
        <v>26</v>
      </c>
      <c r="X88" s="6" t="s">
        <v>26</v>
      </c>
      <c r="Y88" s="6" t="s">
        <v>26</v>
      </c>
      <c r="Z88" s="6" t="s">
        <v>26</v>
      </c>
      <c r="AA88" s="6" t="s">
        <v>26</v>
      </c>
      <c r="AB88" s="6" t="s">
        <v>26</v>
      </c>
      <c r="AC88" s="9" t="s">
        <v>26</v>
      </c>
      <c r="AD88" s="6" t="s">
        <v>26</v>
      </c>
      <c r="AE88" s="6" t="s">
        <v>26</v>
      </c>
      <c r="AF88" s="6" t="s">
        <v>26</v>
      </c>
      <c r="AG88" s="6" t="s">
        <v>26</v>
      </c>
      <c r="AH88" s="6" t="s">
        <v>26</v>
      </c>
      <c r="AI88" s="6" t="s">
        <v>26</v>
      </c>
      <c r="AJ88" s="6" t="s">
        <v>26</v>
      </c>
      <c r="AK88" s="6" t="s">
        <v>26</v>
      </c>
      <c r="AL88" s="6"/>
      <c r="AM88" s="4"/>
    </row>
    <row r="89" spans="1:39" x14ac:dyDescent="0.55000000000000004">
      <c r="A89" s="6" t="s">
        <v>213</v>
      </c>
      <c r="B89" s="6" t="s">
        <v>119</v>
      </c>
      <c r="C89" s="6"/>
      <c r="D89" s="6" t="s">
        <v>26</v>
      </c>
      <c r="E89" s="6" t="s">
        <v>26</v>
      </c>
      <c r="F89" s="6" t="s">
        <v>26</v>
      </c>
      <c r="G89" s="6" t="s">
        <v>26</v>
      </c>
      <c r="H89" s="6" t="s">
        <v>26</v>
      </c>
      <c r="I89" s="6" t="s">
        <v>26</v>
      </c>
      <c r="J89" s="6" t="s">
        <v>26</v>
      </c>
      <c r="K89" s="6" t="s">
        <v>26</v>
      </c>
      <c r="L89" s="6" t="s">
        <v>26</v>
      </c>
      <c r="M89" s="6" t="s">
        <v>26</v>
      </c>
      <c r="N89" s="6" t="s">
        <v>26</v>
      </c>
      <c r="O89" s="6" t="s">
        <v>26</v>
      </c>
      <c r="P89" s="6" t="s">
        <v>26</v>
      </c>
      <c r="Q89" s="6" t="s">
        <v>26</v>
      </c>
      <c r="R89" s="6" t="s">
        <v>26</v>
      </c>
      <c r="S89" s="6" t="s">
        <v>26</v>
      </c>
      <c r="T89" s="9" t="s">
        <v>26</v>
      </c>
      <c r="U89" s="6" t="s">
        <v>26</v>
      </c>
      <c r="V89" s="9" t="s">
        <v>26</v>
      </c>
      <c r="W89" s="6" t="s">
        <v>26</v>
      </c>
      <c r="X89" s="6" t="s">
        <v>26</v>
      </c>
      <c r="Y89" s="6" t="s">
        <v>26</v>
      </c>
      <c r="Z89" s="6" t="s">
        <v>26</v>
      </c>
      <c r="AA89" s="6" t="s">
        <v>26</v>
      </c>
      <c r="AB89" s="6" t="s">
        <v>26</v>
      </c>
      <c r="AC89" s="9" t="s">
        <v>26</v>
      </c>
      <c r="AD89" s="6" t="s">
        <v>26</v>
      </c>
      <c r="AE89" s="6" t="s">
        <v>26</v>
      </c>
      <c r="AF89" s="6" t="s">
        <v>26</v>
      </c>
      <c r="AG89" s="6" t="s">
        <v>26</v>
      </c>
      <c r="AH89" s="6" t="s">
        <v>26</v>
      </c>
      <c r="AI89" s="6" t="s">
        <v>26</v>
      </c>
      <c r="AJ89" s="6" t="s">
        <v>26</v>
      </c>
      <c r="AK89" s="6" t="s">
        <v>26</v>
      </c>
      <c r="AL89" s="6"/>
      <c r="AM89" s="4"/>
    </row>
    <row r="90" spans="1:39" x14ac:dyDescent="0.55000000000000004">
      <c r="A90" t="s">
        <v>213</v>
      </c>
      <c r="B90" s="5" t="s">
        <v>120</v>
      </c>
      <c r="C90" s="5"/>
      <c r="D90" s="6" t="s">
        <v>26</v>
      </c>
      <c r="E90" s="6" t="s">
        <v>26</v>
      </c>
      <c r="F90" s="6" t="s">
        <v>26</v>
      </c>
      <c r="G90" s="6" t="s">
        <v>26</v>
      </c>
      <c r="H90" s="6">
        <v>2.2000000000000002</v>
      </c>
      <c r="I90" s="5" t="s">
        <v>26</v>
      </c>
      <c r="J90" s="6" t="s">
        <v>26</v>
      </c>
      <c r="K90" s="6" t="s">
        <v>26</v>
      </c>
      <c r="L90" s="6" t="s">
        <v>26</v>
      </c>
      <c r="M90" s="6" t="s">
        <v>26</v>
      </c>
      <c r="N90" s="6" t="s">
        <v>26</v>
      </c>
      <c r="O90" s="6" t="s">
        <v>26</v>
      </c>
      <c r="P90" s="6" t="s">
        <v>26</v>
      </c>
      <c r="Q90" s="6" t="s">
        <v>26</v>
      </c>
      <c r="R90" s="6" t="s">
        <v>26</v>
      </c>
      <c r="S90" s="6" t="s">
        <v>26</v>
      </c>
      <c r="T90" s="9" t="s">
        <v>26</v>
      </c>
      <c r="U90" s="6" t="s">
        <v>26</v>
      </c>
      <c r="V90" s="9" t="s">
        <v>26</v>
      </c>
      <c r="W90" s="6" t="s">
        <v>26</v>
      </c>
      <c r="X90" s="6" t="s">
        <v>26</v>
      </c>
      <c r="Y90" s="6" t="s">
        <v>26</v>
      </c>
      <c r="Z90" s="6" t="s">
        <v>26</v>
      </c>
      <c r="AA90" s="6" t="s">
        <v>26</v>
      </c>
      <c r="AB90" s="6" t="s">
        <v>26</v>
      </c>
      <c r="AC90" s="9" t="s">
        <v>26</v>
      </c>
      <c r="AD90" s="6" t="s">
        <v>26</v>
      </c>
      <c r="AE90" s="6" t="s">
        <v>26</v>
      </c>
      <c r="AF90" s="6" t="s">
        <v>26</v>
      </c>
      <c r="AG90" s="6" t="s">
        <v>26</v>
      </c>
      <c r="AH90" s="6" t="s">
        <v>26</v>
      </c>
      <c r="AI90" s="6" t="s">
        <v>26</v>
      </c>
      <c r="AJ90" s="6" t="s">
        <v>26</v>
      </c>
      <c r="AK90" s="6" t="s">
        <v>26</v>
      </c>
      <c r="AL90" s="5"/>
      <c r="AM90" s="5"/>
    </row>
    <row r="91" spans="1:39" x14ac:dyDescent="0.55000000000000004">
      <c r="A91" s="4" t="s">
        <v>213</v>
      </c>
      <c r="B91" s="6" t="s">
        <v>121</v>
      </c>
      <c r="C91" s="6"/>
      <c r="D91" s="6">
        <v>25.4</v>
      </c>
      <c r="E91" s="6">
        <v>30.4</v>
      </c>
      <c r="F91" s="6">
        <v>18.600000000000001</v>
      </c>
      <c r="G91" s="6">
        <v>17.8</v>
      </c>
      <c r="H91" s="6">
        <v>19.399999999999999</v>
      </c>
      <c r="I91" s="6" t="s">
        <v>26</v>
      </c>
      <c r="J91" s="6" t="s">
        <v>26</v>
      </c>
      <c r="K91" s="6" t="s">
        <v>26</v>
      </c>
      <c r="L91" s="6" t="s">
        <v>26</v>
      </c>
      <c r="M91" s="6" t="s">
        <v>26</v>
      </c>
      <c r="N91" s="6" t="s">
        <v>26</v>
      </c>
      <c r="O91" s="6" t="s">
        <v>26</v>
      </c>
      <c r="P91" s="6" t="s">
        <v>26</v>
      </c>
      <c r="Q91" s="6" t="s">
        <v>26</v>
      </c>
      <c r="R91" s="6" t="s">
        <v>26</v>
      </c>
      <c r="S91" s="6" t="s">
        <v>26</v>
      </c>
      <c r="T91" s="9" t="s">
        <v>26</v>
      </c>
      <c r="U91" s="6" t="s">
        <v>26</v>
      </c>
      <c r="V91" s="9" t="s">
        <v>26</v>
      </c>
      <c r="W91" s="6" t="s">
        <v>26</v>
      </c>
      <c r="X91" s="6" t="s">
        <v>26</v>
      </c>
      <c r="Y91" s="6" t="s">
        <v>26</v>
      </c>
      <c r="Z91" s="6" t="s">
        <v>26</v>
      </c>
      <c r="AA91" s="6" t="s">
        <v>26</v>
      </c>
      <c r="AB91" s="6" t="s">
        <v>26</v>
      </c>
      <c r="AC91" s="9" t="s">
        <v>26</v>
      </c>
      <c r="AD91" s="6" t="s">
        <v>26</v>
      </c>
      <c r="AE91" s="6" t="s">
        <v>26</v>
      </c>
      <c r="AF91" s="6" t="s">
        <v>26</v>
      </c>
      <c r="AG91" s="6" t="s">
        <v>26</v>
      </c>
      <c r="AH91" s="6" t="s">
        <v>26</v>
      </c>
      <c r="AI91" s="6" t="s">
        <v>26</v>
      </c>
      <c r="AJ91" s="6" t="s">
        <v>26</v>
      </c>
      <c r="AK91" s="6" t="s">
        <v>26</v>
      </c>
      <c r="AL91" s="9"/>
      <c r="AM91" s="7"/>
    </row>
    <row r="92" spans="1:39" x14ac:dyDescent="0.55000000000000004">
      <c r="A92" s="6" t="s">
        <v>214</v>
      </c>
      <c r="B92" s="4" t="s">
        <v>122</v>
      </c>
      <c r="C92" s="4"/>
      <c r="D92" s="4" t="s">
        <v>26</v>
      </c>
      <c r="E92" s="4" t="s">
        <v>26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6" t="s">
        <v>26</v>
      </c>
      <c r="M92" s="4" t="s">
        <v>26</v>
      </c>
      <c r="N92" s="6">
        <v>0.7</v>
      </c>
      <c r="O92" s="4" t="s">
        <v>26</v>
      </c>
      <c r="P92" s="4" t="s">
        <v>26</v>
      </c>
      <c r="Q92" s="4" t="s">
        <v>26</v>
      </c>
      <c r="R92" s="4" t="s">
        <v>26</v>
      </c>
      <c r="S92" s="4" t="s">
        <v>26</v>
      </c>
      <c r="T92" s="7" t="s">
        <v>26</v>
      </c>
      <c r="U92" s="4" t="s">
        <v>26</v>
      </c>
      <c r="V92" s="7" t="s">
        <v>26</v>
      </c>
      <c r="W92" s="4" t="s">
        <v>26</v>
      </c>
      <c r="X92" s="4" t="s">
        <v>26</v>
      </c>
      <c r="Y92" s="6">
        <v>0</v>
      </c>
      <c r="Z92" s="4" t="s">
        <v>26</v>
      </c>
      <c r="AA92" s="4" t="s">
        <v>26</v>
      </c>
      <c r="AB92" s="4" t="s">
        <v>26</v>
      </c>
      <c r="AC92" s="9" t="s">
        <v>26</v>
      </c>
      <c r="AD92" s="4" t="s">
        <v>26</v>
      </c>
      <c r="AE92" s="4" t="s">
        <v>26</v>
      </c>
      <c r="AF92" s="4" t="s">
        <v>26</v>
      </c>
      <c r="AG92" s="4" t="s">
        <v>26</v>
      </c>
      <c r="AH92" s="4" t="s">
        <v>26</v>
      </c>
      <c r="AI92" s="4" t="s">
        <v>26</v>
      </c>
      <c r="AJ92" s="4" t="s">
        <v>26</v>
      </c>
      <c r="AK92" s="4" t="s">
        <v>26</v>
      </c>
      <c r="AL92" s="4"/>
      <c r="AM92" s="4"/>
    </row>
    <row r="93" spans="1:39" x14ac:dyDescent="0.55000000000000004">
      <c r="A93" t="s">
        <v>215</v>
      </c>
      <c r="B93" s="5" t="s">
        <v>151</v>
      </c>
      <c r="C93" s="5"/>
      <c r="D93" s="6">
        <v>12.7371912168344</v>
      </c>
      <c r="E93" s="6">
        <v>15.247064828994384</v>
      </c>
      <c r="F93" s="6">
        <v>9.3001130369253957</v>
      </c>
      <c r="G93" s="6">
        <v>8.9694104560622918</v>
      </c>
      <c r="H93" s="6">
        <v>9.7251802976829822</v>
      </c>
      <c r="I93" t="s">
        <v>26</v>
      </c>
      <c r="J93" s="4" t="s">
        <v>26</v>
      </c>
      <c r="K93" s="4" t="s">
        <v>26</v>
      </c>
      <c r="L93" s="6">
        <v>1.2665406427221173</v>
      </c>
      <c r="M93" s="4"/>
      <c r="N93" s="4" t="s">
        <v>26</v>
      </c>
      <c r="O93" s="4" t="s">
        <v>26</v>
      </c>
      <c r="P93" s="4" t="s">
        <v>26</v>
      </c>
      <c r="Q93" s="4" t="s">
        <v>26</v>
      </c>
      <c r="R93" s="4" t="s">
        <v>26</v>
      </c>
      <c r="S93" s="4" t="s">
        <v>26</v>
      </c>
      <c r="T93" s="7" t="s">
        <v>26</v>
      </c>
      <c r="U93" s="4" t="s">
        <v>26</v>
      </c>
      <c r="V93" s="7" t="s">
        <v>26</v>
      </c>
      <c r="W93" s="4" t="s">
        <v>26</v>
      </c>
      <c r="X93" s="4" t="s">
        <v>26</v>
      </c>
      <c r="Y93" s="4" t="s">
        <v>26</v>
      </c>
      <c r="Z93" s="4" t="s">
        <v>26</v>
      </c>
      <c r="AA93" s="4" t="s">
        <v>26</v>
      </c>
      <c r="AB93" s="4" t="s">
        <v>26</v>
      </c>
      <c r="AC93" s="7" t="s">
        <v>26</v>
      </c>
      <c r="AD93" s="4" t="s">
        <v>26</v>
      </c>
      <c r="AE93" s="4">
        <v>0.4252232142857143</v>
      </c>
      <c r="AF93" s="4" t="s">
        <v>26</v>
      </c>
      <c r="AG93" s="4" t="s">
        <v>26</v>
      </c>
      <c r="AH93" s="4" t="s">
        <v>26</v>
      </c>
      <c r="AI93" s="4" t="s">
        <v>26</v>
      </c>
      <c r="AJ93" s="4" t="s">
        <v>26</v>
      </c>
      <c r="AK93" s="4" t="s">
        <v>26</v>
      </c>
    </row>
    <row r="94" spans="1:39" x14ac:dyDescent="0.55000000000000004">
      <c r="A94" s="4" t="s">
        <v>214</v>
      </c>
      <c r="B94" s="4" t="s">
        <v>123</v>
      </c>
      <c r="C94" s="4"/>
      <c r="D94" s="4" t="s">
        <v>26</v>
      </c>
      <c r="E94" s="4" t="s">
        <v>26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>
        <v>1.7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4" t="s">
        <v>26</v>
      </c>
      <c r="S94" s="4" t="s">
        <v>26</v>
      </c>
      <c r="T94" s="7" t="s">
        <v>26</v>
      </c>
      <c r="U94" s="4" t="s">
        <v>26</v>
      </c>
      <c r="V94" s="7" t="s">
        <v>26</v>
      </c>
      <c r="W94" s="4" t="s">
        <v>26</v>
      </c>
      <c r="X94" s="4" t="s">
        <v>26</v>
      </c>
      <c r="Y94" s="4" t="s">
        <v>26</v>
      </c>
      <c r="Z94" s="4" t="s">
        <v>26</v>
      </c>
      <c r="AA94" s="4" t="s">
        <v>26</v>
      </c>
      <c r="AB94" s="4" t="s">
        <v>26</v>
      </c>
      <c r="AC94" s="4" t="s">
        <v>26</v>
      </c>
      <c r="AD94" s="4" t="s">
        <v>26</v>
      </c>
      <c r="AE94" s="4" t="s">
        <v>26</v>
      </c>
      <c r="AF94" s="4" t="s">
        <v>26</v>
      </c>
      <c r="AG94" s="4" t="s">
        <v>26</v>
      </c>
      <c r="AH94" s="4" t="s">
        <v>26</v>
      </c>
      <c r="AI94" s="4" t="s">
        <v>26</v>
      </c>
      <c r="AJ94" s="4" t="s">
        <v>26</v>
      </c>
      <c r="AK94" s="4" t="s">
        <v>26</v>
      </c>
      <c r="AL94" s="4"/>
      <c r="AM94" s="4"/>
    </row>
    <row r="95" spans="1:39" x14ac:dyDescent="0.55000000000000004">
      <c r="A95" s="6" t="s">
        <v>216</v>
      </c>
      <c r="B95" s="6" t="s">
        <v>124</v>
      </c>
      <c r="C95" s="6"/>
      <c r="D95" s="6" t="s">
        <v>26</v>
      </c>
      <c r="E95" s="6" t="s">
        <v>26</v>
      </c>
      <c r="F95" s="6" t="s">
        <v>26</v>
      </c>
      <c r="G95" s="6" t="s">
        <v>26</v>
      </c>
      <c r="H95" s="6" t="s">
        <v>26</v>
      </c>
      <c r="I95" s="6" t="s">
        <v>26</v>
      </c>
      <c r="J95" s="6" t="s">
        <v>26</v>
      </c>
      <c r="K95" s="6" t="s">
        <v>26</v>
      </c>
      <c r="L95" s="6">
        <v>0.7</v>
      </c>
      <c r="M95" s="6" t="s">
        <v>26</v>
      </c>
      <c r="N95" s="6" t="s">
        <v>26</v>
      </c>
      <c r="O95" s="6" t="s">
        <v>26</v>
      </c>
      <c r="P95" s="6" t="s">
        <v>26</v>
      </c>
      <c r="Q95" s="6" t="s">
        <v>26</v>
      </c>
      <c r="R95" s="6" t="s">
        <v>26</v>
      </c>
      <c r="S95" s="6" t="s">
        <v>26</v>
      </c>
      <c r="T95" s="9" t="s">
        <v>26</v>
      </c>
      <c r="U95" s="6" t="s">
        <v>26</v>
      </c>
      <c r="V95" s="9" t="s">
        <v>26</v>
      </c>
      <c r="W95" s="6" t="s">
        <v>26</v>
      </c>
      <c r="X95" s="6" t="s">
        <v>26</v>
      </c>
      <c r="Y95" s="6" t="s">
        <v>26</v>
      </c>
      <c r="Z95" s="6" t="s">
        <v>26</v>
      </c>
      <c r="AA95" s="6" t="s">
        <v>26</v>
      </c>
      <c r="AB95" s="6" t="s">
        <v>26</v>
      </c>
      <c r="AC95" s="6" t="s">
        <v>26</v>
      </c>
      <c r="AD95" s="6" t="s">
        <v>26</v>
      </c>
      <c r="AE95" s="6" t="s">
        <v>26</v>
      </c>
      <c r="AF95" s="6" t="s">
        <v>26</v>
      </c>
      <c r="AG95" s="6" t="s">
        <v>26</v>
      </c>
      <c r="AH95" s="6" t="s">
        <v>26</v>
      </c>
      <c r="AI95" s="6" t="s">
        <v>26</v>
      </c>
      <c r="AJ95" s="6" t="s">
        <v>26</v>
      </c>
      <c r="AK95" s="6" t="s">
        <v>26</v>
      </c>
      <c r="AL95" s="6"/>
      <c r="AM95" s="4"/>
    </row>
    <row r="96" spans="1:39" x14ac:dyDescent="0.55000000000000004">
      <c r="A96" t="s">
        <v>217</v>
      </c>
      <c r="B96" s="5" t="s">
        <v>125</v>
      </c>
      <c r="C96" s="5"/>
      <c r="D96" s="6" t="s">
        <v>26</v>
      </c>
      <c r="E96" s="9" t="s">
        <v>26</v>
      </c>
      <c r="F96" s="6" t="s">
        <v>26</v>
      </c>
      <c r="G96" s="6" t="s">
        <v>26</v>
      </c>
      <c r="H96" s="6" t="s">
        <v>26</v>
      </c>
      <c r="I96" s="5" t="s">
        <v>26</v>
      </c>
      <c r="J96" s="6">
        <v>100</v>
      </c>
      <c r="K96" s="6" t="s">
        <v>26</v>
      </c>
      <c r="L96" s="6" t="s">
        <v>26</v>
      </c>
      <c r="M96" s="6" t="s">
        <v>26</v>
      </c>
      <c r="N96" s="6" t="s">
        <v>26</v>
      </c>
      <c r="O96" s="6" t="s">
        <v>26</v>
      </c>
      <c r="P96" s="6" t="s">
        <v>26</v>
      </c>
      <c r="Q96" s="6" t="s">
        <v>26</v>
      </c>
      <c r="R96" s="6" t="s">
        <v>26</v>
      </c>
      <c r="S96" s="6" t="s">
        <v>26</v>
      </c>
      <c r="T96" s="9" t="s">
        <v>26</v>
      </c>
      <c r="U96" s="6" t="s">
        <v>26</v>
      </c>
      <c r="V96" s="9" t="s">
        <v>26</v>
      </c>
      <c r="W96" s="6" t="s">
        <v>26</v>
      </c>
      <c r="X96" s="6" t="s">
        <v>26</v>
      </c>
      <c r="Y96" s="6" t="s">
        <v>26</v>
      </c>
      <c r="Z96" s="6" t="s">
        <v>26</v>
      </c>
      <c r="AA96" s="6" t="s">
        <v>26</v>
      </c>
      <c r="AB96" s="6" t="s">
        <v>26</v>
      </c>
      <c r="AC96" s="6" t="s">
        <v>26</v>
      </c>
      <c r="AD96" s="6" t="s">
        <v>26</v>
      </c>
      <c r="AE96" s="6" t="s">
        <v>26</v>
      </c>
      <c r="AF96" s="6" t="s">
        <v>26</v>
      </c>
      <c r="AG96" s="6" t="s">
        <v>26</v>
      </c>
      <c r="AH96" s="6" t="s">
        <v>26</v>
      </c>
      <c r="AI96" s="6" t="s">
        <v>26</v>
      </c>
      <c r="AJ96" s="6" t="s">
        <v>26</v>
      </c>
      <c r="AK96" s="6" t="s">
        <v>26</v>
      </c>
      <c r="AL96" s="5"/>
      <c r="AM96" s="5"/>
    </row>
    <row r="97" spans="1:40" x14ac:dyDescent="0.55000000000000004">
      <c r="A97" s="6" t="s">
        <v>218</v>
      </c>
      <c r="B97" s="6" t="s">
        <v>126</v>
      </c>
      <c r="C97" s="6"/>
      <c r="D97" s="6" t="s">
        <v>26</v>
      </c>
      <c r="E97" s="6" t="s">
        <v>26</v>
      </c>
      <c r="F97" s="6" t="s">
        <v>26</v>
      </c>
      <c r="G97" s="6" t="s">
        <v>26</v>
      </c>
      <c r="H97" s="6" t="s">
        <v>26</v>
      </c>
      <c r="I97" s="6" t="s">
        <v>26</v>
      </c>
      <c r="J97" s="6" t="s">
        <v>26</v>
      </c>
      <c r="K97" s="6" t="s">
        <v>26</v>
      </c>
      <c r="L97" s="6" t="s">
        <v>26</v>
      </c>
      <c r="M97" s="6" t="s">
        <v>26</v>
      </c>
      <c r="N97" s="6" t="s">
        <v>26</v>
      </c>
      <c r="O97" s="6" t="s">
        <v>26</v>
      </c>
      <c r="P97" s="6" t="s">
        <v>26</v>
      </c>
      <c r="Q97" s="6" t="s">
        <v>26</v>
      </c>
      <c r="R97" s="6" t="s">
        <v>26</v>
      </c>
      <c r="S97" s="6" t="s">
        <v>26</v>
      </c>
      <c r="T97" s="9" t="s">
        <v>26</v>
      </c>
      <c r="U97" s="6" t="s">
        <v>26</v>
      </c>
      <c r="V97" s="9" t="s">
        <v>26</v>
      </c>
      <c r="W97" s="6" t="s">
        <v>26</v>
      </c>
      <c r="X97" s="6" t="s">
        <v>26</v>
      </c>
      <c r="Y97" s="6" t="s">
        <v>26</v>
      </c>
      <c r="Z97" s="6" t="s">
        <v>26</v>
      </c>
      <c r="AA97" s="6" t="s">
        <v>26</v>
      </c>
      <c r="AB97" s="6" t="s">
        <v>26</v>
      </c>
      <c r="AC97" s="6" t="s">
        <v>26</v>
      </c>
      <c r="AD97" s="6" t="s">
        <v>26</v>
      </c>
      <c r="AE97" s="6" t="s">
        <v>26</v>
      </c>
      <c r="AF97" s="6" t="s">
        <v>26</v>
      </c>
      <c r="AG97" s="6" t="s">
        <v>26</v>
      </c>
      <c r="AH97" s="6" t="s">
        <v>26</v>
      </c>
      <c r="AI97" s="6" t="s">
        <v>26</v>
      </c>
      <c r="AJ97" s="6" t="s">
        <v>26</v>
      </c>
      <c r="AK97" s="6" t="s">
        <v>26</v>
      </c>
      <c r="AL97" s="5"/>
    </row>
    <row r="98" spans="1:40" x14ac:dyDescent="0.55000000000000004">
      <c r="A98" t="s">
        <v>218</v>
      </c>
      <c r="B98" t="s">
        <v>127</v>
      </c>
      <c r="D98" s="6">
        <v>11.20128087831656</v>
      </c>
      <c r="E98" s="6">
        <v>14.3233792751404</v>
      </c>
      <c r="F98" s="6">
        <v>8.2575357950263761</v>
      </c>
      <c r="G98" s="6">
        <v>7.6095661846496103</v>
      </c>
      <c r="H98" s="6">
        <v>8.684977750498696</v>
      </c>
      <c r="I98" s="4" t="s">
        <v>26</v>
      </c>
      <c r="J98" s="4" t="s">
        <v>26</v>
      </c>
      <c r="K98" s="4" t="s">
        <v>26</v>
      </c>
      <c r="L98" s="6">
        <v>1.2741020793950852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4" t="s">
        <v>26</v>
      </c>
      <c r="S98" s="4" t="s">
        <v>26</v>
      </c>
      <c r="T98" s="7" t="s">
        <v>26</v>
      </c>
      <c r="U98" s="4" t="s">
        <v>26</v>
      </c>
      <c r="V98" s="7" t="s">
        <v>26</v>
      </c>
      <c r="W98" s="4" t="s">
        <v>26</v>
      </c>
      <c r="X98" s="4" t="s">
        <v>26</v>
      </c>
      <c r="Y98" s="4" t="s">
        <v>26</v>
      </c>
      <c r="Z98" s="4" t="s">
        <v>26</v>
      </c>
      <c r="AA98" s="4" t="s">
        <v>26</v>
      </c>
      <c r="AB98" s="4" t="s">
        <v>26</v>
      </c>
      <c r="AC98" s="4" t="s">
        <v>26</v>
      </c>
      <c r="AD98" s="4" t="s">
        <v>26</v>
      </c>
      <c r="AE98" s="4" t="s">
        <v>26</v>
      </c>
      <c r="AF98" s="4" t="s">
        <v>26</v>
      </c>
      <c r="AG98" s="4" t="s">
        <v>26</v>
      </c>
      <c r="AH98" s="4" t="s">
        <v>26</v>
      </c>
      <c r="AI98" s="4" t="s">
        <v>26</v>
      </c>
      <c r="AJ98" s="4" t="s">
        <v>26</v>
      </c>
      <c r="AK98" s="4" t="s">
        <v>26</v>
      </c>
    </row>
    <row r="99" spans="1:40" x14ac:dyDescent="0.55000000000000004">
      <c r="A99" s="6" t="s">
        <v>218</v>
      </c>
      <c r="B99" s="6" t="s">
        <v>128</v>
      </c>
      <c r="C99" s="6"/>
      <c r="D99" s="6" t="s">
        <v>26</v>
      </c>
      <c r="E99" s="6" t="s">
        <v>26</v>
      </c>
      <c r="F99" s="6" t="s">
        <v>26</v>
      </c>
      <c r="G99" s="6" t="s">
        <v>26</v>
      </c>
      <c r="H99" s="6" t="s">
        <v>26</v>
      </c>
      <c r="I99" s="6" t="s">
        <v>26</v>
      </c>
      <c r="J99" s="6" t="s">
        <v>26</v>
      </c>
      <c r="K99" s="6" t="s">
        <v>26</v>
      </c>
      <c r="L99" s="6" t="s">
        <v>26</v>
      </c>
      <c r="M99" s="6" t="s">
        <v>26</v>
      </c>
      <c r="N99" s="6" t="s">
        <v>26</v>
      </c>
      <c r="O99" s="6" t="s">
        <v>26</v>
      </c>
      <c r="P99" s="6" t="s">
        <v>26</v>
      </c>
      <c r="Q99" s="6" t="s">
        <v>26</v>
      </c>
      <c r="R99" s="6" t="s">
        <v>26</v>
      </c>
      <c r="S99" s="6" t="s">
        <v>26</v>
      </c>
      <c r="T99" s="9" t="s">
        <v>26</v>
      </c>
      <c r="U99" s="6" t="s">
        <v>26</v>
      </c>
      <c r="V99" s="9" t="s">
        <v>26</v>
      </c>
      <c r="W99" s="6" t="s">
        <v>26</v>
      </c>
      <c r="X99" s="6" t="s">
        <v>26</v>
      </c>
      <c r="Y99" s="6" t="s">
        <v>26</v>
      </c>
      <c r="Z99" s="6" t="s">
        <v>26</v>
      </c>
      <c r="AA99" s="6" t="s">
        <v>26</v>
      </c>
      <c r="AB99" s="6" t="s">
        <v>26</v>
      </c>
      <c r="AC99" s="6" t="s">
        <v>26</v>
      </c>
      <c r="AD99" s="6" t="s">
        <v>26</v>
      </c>
      <c r="AE99" s="6" t="s">
        <v>26</v>
      </c>
      <c r="AF99" s="6" t="s">
        <v>26</v>
      </c>
      <c r="AG99" s="6" t="s">
        <v>26</v>
      </c>
      <c r="AH99" s="6" t="s">
        <v>26</v>
      </c>
      <c r="AI99" s="6" t="s">
        <v>26</v>
      </c>
      <c r="AJ99" s="6" t="s">
        <v>26</v>
      </c>
      <c r="AK99" s="6" t="s">
        <v>26</v>
      </c>
      <c r="AL99" s="9"/>
      <c r="AM99" s="7"/>
    </row>
    <row r="100" spans="1:40" x14ac:dyDescent="0.55000000000000004">
      <c r="A100" s="4" t="s">
        <v>219</v>
      </c>
      <c r="B100" s="4" t="s">
        <v>129</v>
      </c>
      <c r="C100" s="4"/>
      <c r="D100" s="4">
        <v>3.7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26</v>
      </c>
      <c r="K100" s="4" t="s">
        <v>26</v>
      </c>
      <c r="L100" s="4">
        <v>6</v>
      </c>
      <c r="M100" s="4">
        <v>0.6</v>
      </c>
      <c r="N100" s="4" t="s">
        <v>26</v>
      </c>
      <c r="O100" s="4" t="s">
        <v>26</v>
      </c>
      <c r="P100" s="4" t="s">
        <v>26</v>
      </c>
      <c r="Q100" s="4" t="s">
        <v>26</v>
      </c>
      <c r="R100" s="4" t="s">
        <v>26</v>
      </c>
      <c r="S100" s="4" t="s">
        <v>26</v>
      </c>
      <c r="T100" s="7" t="s">
        <v>26</v>
      </c>
      <c r="U100" s="4" t="s">
        <v>26</v>
      </c>
      <c r="V100" s="7" t="s">
        <v>26</v>
      </c>
      <c r="W100" s="4" t="s">
        <v>26</v>
      </c>
      <c r="X100" s="4" t="s">
        <v>26</v>
      </c>
      <c r="Y100" s="4" t="s">
        <v>26</v>
      </c>
      <c r="Z100" s="4">
        <v>300</v>
      </c>
      <c r="AA100" s="4">
        <v>100</v>
      </c>
      <c r="AB100" s="4">
        <v>100</v>
      </c>
      <c r="AC100" s="7" t="s">
        <v>26</v>
      </c>
      <c r="AD100" s="4" t="s">
        <v>26</v>
      </c>
      <c r="AE100" s="4" t="s">
        <v>26</v>
      </c>
      <c r="AF100" s="4" t="s">
        <v>26</v>
      </c>
      <c r="AG100" s="4" t="s">
        <v>26</v>
      </c>
      <c r="AH100" s="4">
        <v>26.9</v>
      </c>
      <c r="AI100" s="4" t="s">
        <v>26</v>
      </c>
      <c r="AJ100" s="4" t="s">
        <v>26</v>
      </c>
      <c r="AK100" s="4" t="s">
        <v>26</v>
      </c>
      <c r="AL100" s="3"/>
      <c r="AM100" s="3"/>
      <c r="AN100" s="4"/>
    </row>
    <row r="101" spans="1:40" x14ac:dyDescent="0.55000000000000004">
      <c r="A101" s="4" t="s">
        <v>219</v>
      </c>
      <c r="B101" s="4" t="s">
        <v>130</v>
      </c>
      <c r="C101" s="4"/>
      <c r="D101" s="4">
        <v>3.8</v>
      </c>
      <c r="E101" s="4" t="s">
        <v>26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>
        <v>48.1</v>
      </c>
      <c r="M101" s="4">
        <v>2.6</v>
      </c>
      <c r="N101" s="4" t="s">
        <v>26</v>
      </c>
      <c r="O101" s="4" t="s">
        <v>26</v>
      </c>
      <c r="P101" s="4" t="s">
        <v>26</v>
      </c>
      <c r="Q101" s="4" t="s">
        <v>26</v>
      </c>
      <c r="R101" s="4" t="s">
        <v>26</v>
      </c>
      <c r="S101" s="4" t="s">
        <v>26</v>
      </c>
      <c r="T101" s="7" t="s">
        <v>26</v>
      </c>
      <c r="U101" s="4" t="s">
        <v>26</v>
      </c>
      <c r="V101" s="7" t="s">
        <v>26</v>
      </c>
      <c r="W101" s="4" t="s">
        <v>26</v>
      </c>
      <c r="X101" s="4">
        <v>5.7</v>
      </c>
      <c r="Y101" s="4" t="s">
        <v>26</v>
      </c>
      <c r="Z101" s="4">
        <v>100</v>
      </c>
      <c r="AA101" s="4" t="s">
        <v>26</v>
      </c>
      <c r="AB101" s="4" t="s">
        <v>26</v>
      </c>
      <c r="AC101" s="7" t="s">
        <v>26</v>
      </c>
      <c r="AD101" s="4" t="s">
        <v>26</v>
      </c>
      <c r="AE101" s="4" t="s">
        <v>26</v>
      </c>
      <c r="AF101" s="4" t="s">
        <v>26</v>
      </c>
      <c r="AG101" s="4" t="s">
        <v>26</v>
      </c>
      <c r="AH101" s="4">
        <v>38</v>
      </c>
      <c r="AI101" s="4" t="s">
        <v>26</v>
      </c>
      <c r="AJ101" s="4" t="s">
        <v>26</v>
      </c>
      <c r="AK101" s="4" t="s">
        <v>26</v>
      </c>
      <c r="AL101" s="3"/>
      <c r="AM101" s="3"/>
      <c r="AN101" s="4"/>
    </row>
    <row r="102" spans="1:40" x14ac:dyDescent="0.55000000000000004">
      <c r="A102" s="4" t="s">
        <v>219</v>
      </c>
      <c r="B102" s="4" t="s">
        <v>131</v>
      </c>
      <c r="C102" s="4"/>
      <c r="D102" s="4">
        <v>3.6</v>
      </c>
      <c r="E102" s="4" t="s">
        <v>26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>
        <v>14.3</v>
      </c>
      <c r="M102" s="4">
        <v>1.5</v>
      </c>
      <c r="N102" s="4" t="s">
        <v>26</v>
      </c>
      <c r="O102" s="4" t="s">
        <v>26</v>
      </c>
      <c r="P102" s="4" t="s">
        <v>26</v>
      </c>
      <c r="Q102" s="4">
        <v>200</v>
      </c>
      <c r="R102" s="4" t="s">
        <v>26</v>
      </c>
      <c r="S102" s="4" t="s">
        <v>26</v>
      </c>
      <c r="T102" s="7" t="s">
        <v>26</v>
      </c>
      <c r="U102" s="4" t="s">
        <v>26</v>
      </c>
      <c r="V102" s="7" t="s">
        <v>26</v>
      </c>
      <c r="W102" s="4" t="s">
        <v>26</v>
      </c>
      <c r="X102" s="4" t="s">
        <v>26</v>
      </c>
      <c r="Y102" s="4" t="s">
        <v>26</v>
      </c>
      <c r="Z102" s="4">
        <v>800</v>
      </c>
      <c r="AA102" s="4">
        <v>300</v>
      </c>
      <c r="AB102" s="4">
        <v>100</v>
      </c>
      <c r="AC102" s="7" t="s">
        <v>26</v>
      </c>
      <c r="AD102" s="4" t="s">
        <v>26</v>
      </c>
      <c r="AE102" s="4" t="s">
        <v>26</v>
      </c>
      <c r="AF102" s="4" t="s">
        <v>26</v>
      </c>
      <c r="AG102" s="4" t="s">
        <v>26</v>
      </c>
      <c r="AH102" s="4" t="s">
        <v>26</v>
      </c>
      <c r="AI102" s="4" t="s">
        <v>26</v>
      </c>
      <c r="AJ102" s="4" t="s">
        <v>26</v>
      </c>
      <c r="AK102" s="4" t="s">
        <v>26</v>
      </c>
      <c r="AL102" s="3"/>
      <c r="AM102" s="3"/>
      <c r="AN102" s="4"/>
    </row>
    <row r="103" spans="1:40" x14ac:dyDescent="0.55000000000000004">
      <c r="A103" s="4" t="s">
        <v>219</v>
      </c>
      <c r="B103" s="4" t="s">
        <v>132</v>
      </c>
      <c r="C103" s="4"/>
      <c r="D103" s="4">
        <v>3.9</v>
      </c>
      <c r="E103" s="4" t="s">
        <v>26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>
        <v>3.1</v>
      </c>
      <c r="M103" s="4" t="s">
        <v>26</v>
      </c>
      <c r="N103" s="4" t="s">
        <v>26</v>
      </c>
      <c r="O103" s="4" t="s">
        <v>26</v>
      </c>
      <c r="P103" s="4" t="s">
        <v>26</v>
      </c>
      <c r="Q103" s="4">
        <v>100</v>
      </c>
      <c r="R103" s="4" t="s">
        <v>26</v>
      </c>
      <c r="S103" s="4" t="s">
        <v>26</v>
      </c>
      <c r="T103" s="7" t="s">
        <v>26</v>
      </c>
      <c r="U103" s="4" t="s">
        <v>26</v>
      </c>
      <c r="V103" s="7" t="s">
        <v>26</v>
      </c>
      <c r="W103" s="4" t="s">
        <v>26</v>
      </c>
      <c r="X103" s="4" t="s">
        <v>26</v>
      </c>
      <c r="Y103" s="4" t="s">
        <v>26</v>
      </c>
      <c r="Z103" s="4">
        <v>400</v>
      </c>
      <c r="AA103" s="4">
        <v>200</v>
      </c>
      <c r="AB103" s="4">
        <v>100</v>
      </c>
      <c r="AC103" s="7" t="s">
        <v>26</v>
      </c>
      <c r="AD103" s="4" t="s">
        <v>26</v>
      </c>
      <c r="AE103" s="4" t="s">
        <v>26</v>
      </c>
      <c r="AF103" s="4" t="s">
        <v>26</v>
      </c>
      <c r="AG103" s="4" t="s">
        <v>26</v>
      </c>
      <c r="AH103" s="4">
        <v>28.8</v>
      </c>
      <c r="AI103" s="4" t="s">
        <v>26</v>
      </c>
      <c r="AJ103" s="4" t="s">
        <v>26</v>
      </c>
      <c r="AK103" s="4" t="s">
        <v>26</v>
      </c>
      <c r="AL103" s="3"/>
      <c r="AM103" s="3"/>
      <c r="AN103" s="4"/>
    </row>
    <row r="104" spans="1:40" x14ac:dyDescent="0.55000000000000004">
      <c r="A104" s="4" t="s">
        <v>219</v>
      </c>
      <c r="B104" s="4" t="s">
        <v>133</v>
      </c>
      <c r="C104" s="4"/>
      <c r="D104" s="4">
        <v>3.7</v>
      </c>
      <c r="E104" s="4" t="s">
        <v>26</v>
      </c>
      <c r="F104" s="4" t="s">
        <v>26</v>
      </c>
      <c r="G104" s="4" t="s">
        <v>26</v>
      </c>
      <c r="H104" s="4" t="s">
        <v>26</v>
      </c>
      <c r="I104" s="4" t="s">
        <v>26</v>
      </c>
      <c r="J104" s="4" t="s">
        <v>26</v>
      </c>
      <c r="K104" s="4" t="s">
        <v>26</v>
      </c>
      <c r="L104" s="4">
        <v>1</v>
      </c>
      <c r="M104" s="4" t="s">
        <v>26</v>
      </c>
      <c r="N104" s="4" t="s">
        <v>26</v>
      </c>
      <c r="O104" s="4" t="s">
        <v>26</v>
      </c>
      <c r="P104" s="4" t="s">
        <v>26</v>
      </c>
      <c r="Q104" s="4">
        <v>800</v>
      </c>
      <c r="R104" s="4" t="s">
        <v>26</v>
      </c>
      <c r="S104" s="4" t="s">
        <v>26</v>
      </c>
      <c r="T104" s="7" t="s">
        <v>26</v>
      </c>
      <c r="U104" s="4" t="s">
        <v>26</v>
      </c>
      <c r="V104" s="7" t="s">
        <v>26</v>
      </c>
      <c r="W104" s="4">
        <v>35.9</v>
      </c>
      <c r="X104" s="4" t="s">
        <v>26</v>
      </c>
      <c r="Y104" s="4" t="s">
        <v>26</v>
      </c>
      <c r="Z104" s="4">
        <v>400</v>
      </c>
      <c r="AA104" s="4">
        <v>200</v>
      </c>
      <c r="AB104" s="4" t="s">
        <v>26</v>
      </c>
      <c r="AC104" s="7" t="s">
        <v>26</v>
      </c>
      <c r="AD104" s="4" t="s">
        <v>26</v>
      </c>
      <c r="AE104" s="4" t="s">
        <v>26</v>
      </c>
      <c r="AF104" s="4" t="s">
        <v>26</v>
      </c>
      <c r="AG104" s="4" t="s">
        <v>26</v>
      </c>
      <c r="AH104" s="4" t="s">
        <v>26</v>
      </c>
      <c r="AI104" s="4" t="s">
        <v>26</v>
      </c>
      <c r="AJ104" s="4">
        <v>2.8</v>
      </c>
      <c r="AK104" s="4">
        <v>6</v>
      </c>
      <c r="AL104" s="3"/>
      <c r="AM104" s="3"/>
      <c r="AN104" s="4"/>
    </row>
    <row r="105" spans="1:40" x14ac:dyDescent="0.55000000000000004">
      <c r="A105" s="4" t="s">
        <v>219</v>
      </c>
      <c r="B105" s="4" t="s">
        <v>134</v>
      </c>
      <c r="C105" s="4"/>
      <c r="D105" s="4">
        <v>3.5630000000000002</v>
      </c>
      <c r="E105" s="4" t="s">
        <v>26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>
        <v>19</v>
      </c>
      <c r="M105" s="4">
        <v>1.1990000000000001</v>
      </c>
      <c r="N105" s="4" t="s">
        <v>26</v>
      </c>
      <c r="O105" s="4" t="s">
        <v>26</v>
      </c>
      <c r="P105" s="4" t="s">
        <v>26</v>
      </c>
      <c r="Q105" s="4" t="s">
        <v>26</v>
      </c>
      <c r="R105" s="4" t="s">
        <v>26</v>
      </c>
      <c r="S105" s="4" t="s">
        <v>26</v>
      </c>
      <c r="T105" s="7" t="s">
        <v>26</v>
      </c>
      <c r="U105" s="4" t="s">
        <v>26</v>
      </c>
      <c r="V105" s="7" t="s">
        <v>26</v>
      </c>
      <c r="W105" s="4" t="s">
        <v>26</v>
      </c>
      <c r="X105" s="4" t="s">
        <v>26</v>
      </c>
      <c r="Y105" s="4" t="s">
        <v>26</v>
      </c>
      <c r="Z105" s="4">
        <v>400</v>
      </c>
      <c r="AA105" s="4">
        <v>100</v>
      </c>
      <c r="AB105" s="4">
        <v>100</v>
      </c>
      <c r="AC105" s="7" t="s">
        <v>26</v>
      </c>
      <c r="AD105" s="4" t="s">
        <v>26</v>
      </c>
      <c r="AE105" s="4" t="s">
        <v>26</v>
      </c>
      <c r="AF105" s="4" t="s">
        <v>26</v>
      </c>
      <c r="AG105" s="4" t="s">
        <v>26</v>
      </c>
      <c r="AH105" s="4" t="s">
        <v>26</v>
      </c>
      <c r="AI105" s="4" t="s">
        <v>26</v>
      </c>
      <c r="AJ105" s="4" t="s">
        <v>26</v>
      </c>
      <c r="AK105" s="4" t="s">
        <v>26</v>
      </c>
      <c r="AL105" s="3"/>
      <c r="AM105" s="3"/>
      <c r="AN105" s="4"/>
    </row>
    <row r="106" spans="1:40" x14ac:dyDescent="0.55000000000000004">
      <c r="A106" s="4" t="s">
        <v>219</v>
      </c>
      <c r="B106" s="4" t="s">
        <v>135</v>
      </c>
      <c r="C106" s="4"/>
      <c r="D106" s="4">
        <v>3.718</v>
      </c>
      <c r="E106" s="4" t="s">
        <v>26</v>
      </c>
      <c r="F106" s="4" t="s">
        <v>26</v>
      </c>
      <c r="G106" s="4" t="s">
        <v>26</v>
      </c>
      <c r="H106" s="4" t="s">
        <v>26</v>
      </c>
      <c r="I106" s="4" t="s">
        <v>26</v>
      </c>
      <c r="J106" s="4" t="s">
        <v>26</v>
      </c>
      <c r="K106" s="4" t="s">
        <v>26</v>
      </c>
      <c r="L106" s="4">
        <v>5.8</v>
      </c>
      <c r="M106" s="4">
        <v>0.51100000000000001</v>
      </c>
      <c r="N106" s="4" t="s">
        <v>26</v>
      </c>
      <c r="O106" s="4" t="s">
        <v>26</v>
      </c>
      <c r="P106" s="4" t="s">
        <v>26</v>
      </c>
      <c r="Q106" s="4" t="s">
        <v>26</v>
      </c>
      <c r="R106" s="4" t="s">
        <v>26</v>
      </c>
      <c r="S106" s="4" t="s">
        <v>26</v>
      </c>
      <c r="T106" s="7" t="s">
        <v>26</v>
      </c>
      <c r="U106" s="4" t="s">
        <v>26</v>
      </c>
      <c r="V106" s="7" t="s">
        <v>26</v>
      </c>
      <c r="W106" s="4" t="s">
        <v>26</v>
      </c>
      <c r="X106" s="4" t="s">
        <v>26</v>
      </c>
      <c r="Y106" s="4" t="s">
        <v>26</v>
      </c>
      <c r="Z106" s="4">
        <v>100</v>
      </c>
      <c r="AA106" s="4" t="s">
        <v>26</v>
      </c>
      <c r="AB106" s="4" t="s">
        <v>26</v>
      </c>
      <c r="AC106" s="7" t="s">
        <v>26</v>
      </c>
      <c r="AD106" s="4" t="s">
        <v>26</v>
      </c>
      <c r="AE106" s="4" t="s">
        <v>26</v>
      </c>
      <c r="AF106" s="4" t="s">
        <v>26</v>
      </c>
      <c r="AG106" s="4" t="s">
        <v>26</v>
      </c>
      <c r="AH106" s="7">
        <v>17</v>
      </c>
      <c r="AI106" s="4" t="s">
        <v>26</v>
      </c>
      <c r="AJ106" s="4" t="s">
        <v>26</v>
      </c>
      <c r="AK106" s="4" t="s">
        <v>26</v>
      </c>
      <c r="AL106" s="3"/>
      <c r="AM106" s="3"/>
      <c r="AN106" s="4"/>
    </row>
    <row r="107" spans="1:40" x14ac:dyDescent="0.55000000000000004">
      <c r="A107" s="4" t="s">
        <v>219</v>
      </c>
      <c r="B107" s="4" t="s">
        <v>136</v>
      </c>
      <c r="C107" s="4"/>
      <c r="D107" s="4">
        <v>3.7</v>
      </c>
      <c r="E107" s="4">
        <v>7.7210000000000001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>
        <v>5.6</v>
      </c>
      <c r="M107" s="4">
        <v>0.7</v>
      </c>
      <c r="N107" s="4" t="s">
        <v>26</v>
      </c>
      <c r="O107" s="4" t="s">
        <v>26</v>
      </c>
      <c r="P107" s="4" t="s">
        <v>26</v>
      </c>
      <c r="Q107" s="4" t="s">
        <v>26</v>
      </c>
      <c r="R107" s="4" t="s">
        <v>26</v>
      </c>
      <c r="S107" s="4" t="s">
        <v>26</v>
      </c>
      <c r="T107" s="7" t="s">
        <v>26</v>
      </c>
      <c r="U107" s="4">
        <v>7700</v>
      </c>
      <c r="V107" s="7" t="s">
        <v>26</v>
      </c>
      <c r="W107" s="4" t="s">
        <v>26</v>
      </c>
      <c r="X107" s="4" t="s">
        <v>26</v>
      </c>
      <c r="Y107" s="4" t="s">
        <v>26</v>
      </c>
      <c r="Z107" s="4" t="s">
        <v>26</v>
      </c>
      <c r="AA107" s="4" t="s">
        <v>26</v>
      </c>
      <c r="AB107" s="4" t="s">
        <v>26</v>
      </c>
      <c r="AC107" s="7" t="s">
        <v>26</v>
      </c>
      <c r="AD107" s="4" t="s">
        <v>26</v>
      </c>
      <c r="AE107" s="4" t="s">
        <v>26</v>
      </c>
      <c r="AF107" s="4" t="s">
        <v>26</v>
      </c>
      <c r="AG107" s="4" t="s">
        <v>26</v>
      </c>
      <c r="AH107" s="4">
        <v>0</v>
      </c>
      <c r="AI107" s="4" t="s">
        <v>26</v>
      </c>
      <c r="AJ107" s="4" t="s">
        <v>26</v>
      </c>
      <c r="AK107" s="4" t="s">
        <v>26</v>
      </c>
      <c r="AL107" s="3"/>
      <c r="AM107" s="3"/>
      <c r="AN107" s="4"/>
    </row>
    <row r="108" spans="1:40" x14ac:dyDescent="0.55000000000000004">
      <c r="A108" s="4" t="s">
        <v>219</v>
      </c>
      <c r="B108" s="4" t="s">
        <v>137</v>
      </c>
      <c r="C108" s="4"/>
      <c r="D108" s="4" t="s">
        <v>26</v>
      </c>
      <c r="E108" s="4" t="s">
        <v>26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26</v>
      </c>
      <c r="L108" s="4">
        <v>4.9000000000000004</v>
      </c>
      <c r="M108" s="4" t="s">
        <v>26</v>
      </c>
      <c r="N108" s="4" t="s">
        <v>26</v>
      </c>
      <c r="O108" s="4" t="s">
        <v>26</v>
      </c>
      <c r="P108" s="4" t="s">
        <v>26</v>
      </c>
      <c r="Q108" s="4">
        <v>900</v>
      </c>
      <c r="R108" s="4" t="s">
        <v>26</v>
      </c>
      <c r="S108" s="4">
        <v>71.2</v>
      </c>
      <c r="T108" s="7" t="s">
        <v>26</v>
      </c>
      <c r="U108" s="4" t="s">
        <v>26</v>
      </c>
      <c r="V108" s="7">
        <v>49.6</v>
      </c>
      <c r="W108" s="4">
        <v>126.6</v>
      </c>
      <c r="X108" s="4" t="s">
        <v>26</v>
      </c>
      <c r="Y108" s="4" t="s">
        <v>26</v>
      </c>
      <c r="Z108" s="4">
        <v>100</v>
      </c>
      <c r="AA108" s="4" t="s">
        <v>26</v>
      </c>
      <c r="AB108" s="4" t="s">
        <v>26</v>
      </c>
      <c r="AC108" s="7" t="s">
        <v>26</v>
      </c>
      <c r="AD108" s="4" t="s">
        <v>26</v>
      </c>
      <c r="AE108" s="4" t="s">
        <v>26</v>
      </c>
      <c r="AF108" s="4" t="s">
        <v>26</v>
      </c>
      <c r="AG108" s="4" t="s">
        <v>26</v>
      </c>
      <c r="AH108" s="4" t="s">
        <v>26</v>
      </c>
      <c r="AI108" s="4" t="s">
        <v>26</v>
      </c>
      <c r="AJ108" s="4" t="s">
        <v>26</v>
      </c>
      <c r="AK108" s="4" t="s">
        <v>26</v>
      </c>
      <c r="AL108" s="3"/>
      <c r="AM108" s="3"/>
      <c r="AN108" s="4"/>
    </row>
    <row r="109" spans="1:40" x14ac:dyDescent="0.55000000000000004">
      <c r="A109" s="4" t="s">
        <v>219</v>
      </c>
      <c r="B109" s="4" t="s">
        <v>138</v>
      </c>
      <c r="C109" s="4"/>
      <c r="D109" s="4">
        <v>3.8</v>
      </c>
      <c r="E109" s="4" t="s">
        <v>26</v>
      </c>
      <c r="F109" s="4" t="s">
        <v>26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>
        <v>22.4</v>
      </c>
      <c r="M109" s="4">
        <v>1.8</v>
      </c>
      <c r="N109" s="4">
        <v>1.9710000000000001</v>
      </c>
      <c r="O109" s="4" t="s">
        <v>26</v>
      </c>
      <c r="P109" s="4" t="s">
        <v>26</v>
      </c>
      <c r="Q109" s="4" t="s">
        <v>26</v>
      </c>
      <c r="R109" s="4" t="s">
        <v>26</v>
      </c>
      <c r="S109" s="4" t="s">
        <v>26</v>
      </c>
      <c r="T109" s="7" t="s">
        <v>26</v>
      </c>
      <c r="U109" s="4" t="s">
        <v>26</v>
      </c>
      <c r="V109" s="7" t="s">
        <v>26</v>
      </c>
      <c r="W109" s="4" t="s">
        <v>26</v>
      </c>
      <c r="X109" s="4" t="s">
        <v>26</v>
      </c>
      <c r="Y109" s="4" t="s">
        <v>26</v>
      </c>
      <c r="Z109" s="4" t="s">
        <v>26</v>
      </c>
      <c r="AA109" s="4" t="s">
        <v>26</v>
      </c>
      <c r="AB109" s="4" t="s">
        <v>26</v>
      </c>
      <c r="AC109" s="7" t="s">
        <v>26</v>
      </c>
      <c r="AD109" s="4" t="s">
        <v>26</v>
      </c>
      <c r="AE109" s="4" t="s">
        <v>26</v>
      </c>
      <c r="AF109" s="4" t="s">
        <v>26</v>
      </c>
      <c r="AG109" s="4" t="s">
        <v>26</v>
      </c>
      <c r="AH109" s="4" t="s">
        <v>26</v>
      </c>
      <c r="AI109" s="4" t="s">
        <v>26</v>
      </c>
      <c r="AJ109" s="4" t="s">
        <v>26</v>
      </c>
      <c r="AK109" s="4" t="s">
        <v>26</v>
      </c>
      <c r="AL109" s="3"/>
      <c r="AM109" s="3"/>
      <c r="AN109" s="4"/>
    </row>
    <row r="110" spans="1:40" x14ac:dyDescent="0.55000000000000004">
      <c r="A110" s="4" t="s">
        <v>219</v>
      </c>
      <c r="B110" s="4" t="s">
        <v>139</v>
      </c>
      <c r="C110" s="4"/>
      <c r="D110" s="4">
        <v>3.5579999999999998</v>
      </c>
      <c r="E110" s="4" t="s">
        <v>26</v>
      </c>
      <c r="F110" s="4" t="s">
        <v>26</v>
      </c>
      <c r="G110" s="4" t="s">
        <v>26</v>
      </c>
      <c r="H110" s="4" t="s">
        <v>26</v>
      </c>
      <c r="I110" s="4" t="s">
        <v>26</v>
      </c>
      <c r="J110" s="4" t="s">
        <v>26</v>
      </c>
      <c r="K110" s="4" t="s">
        <v>26</v>
      </c>
      <c r="L110" s="4">
        <v>5.4</v>
      </c>
      <c r="M110" s="4" t="s">
        <v>26</v>
      </c>
      <c r="N110" s="4" t="s">
        <v>26</v>
      </c>
      <c r="O110" s="4" t="s">
        <v>26</v>
      </c>
      <c r="P110" s="4" t="s">
        <v>26</v>
      </c>
      <c r="Q110" s="4">
        <v>300</v>
      </c>
      <c r="R110" s="4" t="s">
        <v>26</v>
      </c>
      <c r="S110" s="4" t="s">
        <v>26</v>
      </c>
      <c r="T110" s="7" t="s">
        <v>26</v>
      </c>
      <c r="U110" s="4" t="s">
        <v>26</v>
      </c>
      <c r="V110" s="7" t="s">
        <v>26</v>
      </c>
      <c r="W110" s="4">
        <v>15.2</v>
      </c>
      <c r="X110" s="4" t="s">
        <v>26</v>
      </c>
      <c r="Y110" s="4" t="s">
        <v>26</v>
      </c>
      <c r="Z110" s="4">
        <v>100</v>
      </c>
      <c r="AA110" s="4" t="s">
        <v>26</v>
      </c>
      <c r="AB110" s="4" t="s">
        <v>26</v>
      </c>
      <c r="AC110" s="7" t="s">
        <v>26</v>
      </c>
      <c r="AD110" s="4" t="s">
        <v>26</v>
      </c>
      <c r="AE110" s="4" t="s">
        <v>26</v>
      </c>
      <c r="AF110" s="4" t="s">
        <v>26</v>
      </c>
      <c r="AG110" s="4" t="s">
        <v>26</v>
      </c>
      <c r="AH110" s="4" t="s">
        <v>26</v>
      </c>
      <c r="AI110" s="4" t="s">
        <v>26</v>
      </c>
      <c r="AJ110" s="4" t="s">
        <v>26</v>
      </c>
      <c r="AK110" s="4" t="s">
        <v>26</v>
      </c>
      <c r="AL110" s="3"/>
      <c r="AM110" s="3"/>
      <c r="AN110" s="4"/>
    </row>
    <row r="111" spans="1:40" x14ac:dyDescent="0.55000000000000004">
      <c r="A111" s="4" t="s">
        <v>219</v>
      </c>
      <c r="B111" s="4" t="s">
        <v>140</v>
      </c>
      <c r="C111" s="4"/>
      <c r="D111" s="4">
        <v>4.0999999999999996</v>
      </c>
      <c r="E111" s="4" t="s">
        <v>26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>
        <v>11.9</v>
      </c>
      <c r="M111" s="4">
        <v>1.0309999999999999</v>
      </c>
      <c r="N111" s="4" t="s">
        <v>26</v>
      </c>
      <c r="O111" s="4" t="s">
        <v>26</v>
      </c>
      <c r="P111" s="4" t="s">
        <v>26</v>
      </c>
      <c r="Q111" s="4" t="s">
        <v>26</v>
      </c>
      <c r="R111" s="4" t="s">
        <v>26</v>
      </c>
      <c r="S111" s="4" t="s">
        <v>26</v>
      </c>
      <c r="T111" s="7" t="s">
        <v>26</v>
      </c>
      <c r="U111" s="4" t="s">
        <v>26</v>
      </c>
      <c r="V111" s="7" t="s">
        <v>26</v>
      </c>
      <c r="W111" s="4" t="s">
        <v>26</v>
      </c>
      <c r="X111" s="4" t="s">
        <v>26</v>
      </c>
      <c r="Y111" s="4" t="s">
        <v>26</v>
      </c>
      <c r="Z111" s="4" t="s">
        <v>26</v>
      </c>
      <c r="AA111" s="4" t="s">
        <v>26</v>
      </c>
      <c r="AB111" s="4" t="s">
        <v>26</v>
      </c>
      <c r="AC111" s="7" t="s">
        <v>26</v>
      </c>
      <c r="AD111" s="4" t="s">
        <v>26</v>
      </c>
      <c r="AE111" s="4" t="s">
        <v>26</v>
      </c>
      <c r="AF111" s="4" t="s">
        <v>26</v>
      </c>
      <c r="AG111" s="4" t="s">
        <v>26</v>
      </c>
      <c r="AH111" s="4">
        <v>81.022000000000006</v>
      </c>
      <c r="AI111" s="4" t="s">
        <v>26</v>
      </c>
      <c r="AJ111" s="4" t="s">
        <v>26</v>
      </c>
      <c r="AK111" s="4" t="s">
        <v>26</v>
      </c>
      <c r="AL111" s="3"/>
      <c r="AM111" s="3"/>
      <c r="AN111" s="4"/>
    </row>
    <row r="112" spans="1:40" x14ac:dyDescent="0.55000000000000004">
      <c r="A112" s="4" t="s">
        <v>219</v>
      </c>
      <c r="B112" s="4" t="s">
        <v>141</v>
      </c>
      <c r="C112" s="4"/>
      <c r="D112" s="4">
        <v>4</v>
      </c>
      <c r="E112" s="4" t="s">
        <v>26</v>
      </c>
      <c r="F112" s="4" t="s">
        <v>26</v>
      </c>
      <c r="G112" s="4" t="s">
        <v>26</v>
      </c>
      <c r="H112" s="4" t="s">
        <v>26</v>
      </c>
      <c r="I112" s="4" t="s">
        <v>26</v>
      </c>
      <c r="J112" s="4" t="s">
        <v>26</v>
      </c>
      <c r="K112" s="4" t="s">
        <v>26</v>
      </c>
      <c r="L112" s="4">
        <v>2.5750000000000002</v>
      </c>
      <c r="M112" s="4" t="s">
        <v>26</v>
      </c>
      <c r="N112" s="4" t="s">
        <v>26</v>
      </c>
      <c r="O112" s="4" t="s">
        <v>26</v>
      </c>
      <c r="P112" s="4" t="s">
        <v>26</v>
      </c>
      <c r="Q112" s="4">
        <v>100</v>
      </c>
      <c r="R112" s="4" t="s">
        <v>26</v>
      </c>
      <c r="S112" s="4" t="s">
        <v>26</v>
      </c>
      <c r="T112" s="7" t="s">
        <v>26</v>
      </c>
      <c r="U112" s="4" t="s">
        <v>26</v>
      </c>
      <c r="V112" s="7" t="s">
        <v>26</v>
      </c>
      <c r="W112" s="4" t="s">
        <v>26</v>
      </c>
      <c r="X112" s="4" t="s">
        <v>26</v>
      </c>
      <c r="Y112" s="4" t="s">
        <v>26</v>
      </c>
      <c r="Z112" s="4">
        <v>500</v>
      </c>
      <c r="AA112" s="4">
        <v>200</v>
      </c>
      <c r="AB112" s="4" t="s">
        <v>26</v>
      </c>
      <c r="AC112" s="7" t="s">
        <v>26</v>
      </c>
      <c r="AD112" s="4" t="s">
        <v>26</v>
      </c>
      <c r="AE112" s="4" t="s">
        <v>26</v>
      </c>
      <c r="AF112" s="4" t="s">
        <v>26</v>
      </c>
      <c r="AG112" s="4" t="s">
        <v>26</v>
      </c>
      <c r="AH112" s="4">
        <v>61.1</v>
      </c>
      <c r="AI112" s="4" t="s">
        <v>26</v>
      </c>
      <c r="AJ112" s="4">
        <v>7.4</v>
      </c>
      <c r="AK112" s="4" t="s">
        <v>26</v>
      </c>
      <c r="AL112" s="3"/>
      <c r="AM112" s="3"/>
      <c r="AN112" s="4"/>
    </row>
    <row r="113" spans="1:40" x14ac:dyDescent="0.55000000000000004">
      <c r="A113" s="4" t="s">
        <v>219</v>
      </c>
      <c r="B113" s="4" t="s">
        <v>142</v>
      </c>
      <c r="C113" s="4"/>
      <c r="D113" s="4">
        <v>3.5</v>
      </c>
      <c r="E113" s="4" t="s">
        <v>26</v>
      </c>
      <c r="F113" s="4" t="s">
        <v>26</v>
      </c>
      <c r="G113" s="4" t="s">
        <v>26</v>
      </c>
      <c r="H113" s="4" t="s">
        <v>26</v>
      </c>
      <c r="I113" s="4" t="s">
        <v>26</v>
      </c>
      <c r="J113" s="4" t="s">
        <v>26</v>
      </c>
      <c r="K113" s="4" t="s">
        <v>26</v>
      </c>
      <c r="L113" s="4">
        <v>11.5</v>
      </c>
      <c r="M113" s="4">
        <v>1.0569999999999999</v>
      </c>
      <c r="N113" s="4" t="s">
        <v>26</v>
      </c>
      <c r="O113" s="4" t="s">
        <v>26</v>
      </c>
      <c r="P113" s="4" t="s">
        <v>26</v>
      </c>
      <c r="Q113" s="4" t="s">
        <v>26</v>
      </c>
      <c r="R113" s="4" t="s">
        <v>26</v>
      </c>
      <c r="S113" s="4" t="s">
        <v>26</v>
      </c>
      <c r="T113" s="7" t="s">
        <v>26</v>
      </c>
      <c r="U113" s="4" t="s">
        <v>26</v>
      </c>
      <c r="V113" s="7" t="s">
        <v>26</v>
      </c>
      <c r="W113" s="4" t="s">
        <v>26</v>
      </c>
      <c r="X113" s="4" t="s">
        <v>26</v>
      </c>
      <c r="Y113" s="4" t="s">
        <v>26</v>
      </c>
      <c r="Z113" s="4" t="s">
        <v>26</v>
      </c>
      <c r="AA113" s="4" t="s">
        <v>26</v>
      </c>
      <c r="AB113" s="4" t="s">
        <v>26</v>
      </c>
      <c r="AC113" s="7" t="s">
        <v>26</v>
      </c>
      <c r="AD113" s="4" t="s">
        <v>26</v>
      </c>
      <c r="AE113" s="4" t="s">
        <v>26</v>
      </c>
      <c r="AF113" s="4" t="s">
        <v>26</v>
      </c>
      <c r="AG113" s="4" t="s">
        <v>26</v>
      </c>
      <c r="AH113" s="4" t="s">
        <v>26</v>
      </c>
      <c r="AI113" s="4" t="s">
        <v>26</v>
      </c>
      <c r="AJ113" s="4" t="s">
        <v>26</v>
      </c>
      <c r="AK113" s="4" t="s">
        <v>26</v>
      </c>
      <c r="AL113" s="3"/>
      <c r="AM113" s="3"/>
      <c r="AN113" s="4"/>
    </row>
    <row r="114" spans="1:40" x14ac:dyDescent="0.55000000000000004">
      <c r="A114" s="4" t="s">
        <v>219</v>
      </c>
      <c r="B114" s="4" t="s">
        <v>143</v>
      </c>
      <c r="C114" s="4"/>
      <c r="D114" s="4">
        <v>3.7</v>
      </c>
      <c r="E114" s="4" t="s">
        <v>26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>
        <v>22.1</v>
      </c>
      <c r="M114" s="4">
        <v>2.2999999999999998</v>
      </c>
      <c r="N114" s="4" t="s">
        <v>26</v>
      </c>
      <c r="O114" s="4" t="s">
        <v>26</v>
      </c>
      <c r="P114" s="4" t="s">
        <v>26</v>
      </c>
      <c r="Q114" s="4" t="s">
        <v>26</v>
      </c>
      <c r="R114" s="4" t="s">
        <v>26</v>
      </c>
      <c r="S114" s="4" t="s">
        <v>26</v>
      </c>
      <c r="T114" s="7" t="s">
        <v>26</v>
      </c>
      <c r="U114" s="4" t="s">
        <v>26</v>
      </c>
      <c r="V114" s="7" t="s">
        <v>26</v>
      </c>
      <c r="W114" s="4" t="s">
        <v>26</v>
      </c>
      <c r="X114" s="4" t="s">
        <v>26</v>
      </c>
      <c r="Y114" s="4" t="s">
        <v>26</v>
      </c>
      <c r="Z114" s="4">
        <v>100</v>
      </c>
      <c r="AA114" s="4" t="s">
        <v>26</v>
      </c>
      <c r="AB114" s="4" t="s">
        <v>26</v>
      </c>
      <c r="AC114" s="7">
        <v>2.4500000000000002</v>
      </c>
      <c r="AD114" s="4" t="s">
        <v>26</v>
      </c>
      <c r="AE114" s="4" t="s">
        <v>26</v>
      </c>
      <c r="AF114" s="4" t="s">
        <v>26</v>
      </c>
      <c r="AG114" s="4" t="s">
        <v>26</v>
      </c>
      <c r="AH114" s="4" t="s">
        <v>26</v>
      </c>
      <c r="AI114" s="4" t="s">
        <v>26</v>
      </c>
      <c r="AJ114" s="4" t="s">
        <v>26</v>
      </c>
      <c r="AK114" s="4" t="s">
        <v>26</v>
      </c>
      <c r="AL114" s="3"/>
      <c r="AM114" s="3"/>
      <c r="AN114" s="4"/>
    </row>
    <row r="115" spans="1:40" x14ac:dyDescent="0.55000000000000004">
      <c r="A115" s="4" t="s">
        <v>219</v>
      </c>
      <c r="B115" s="4" t="s">
        <v>144</v>
      </c>
      <c r="C115" s="4"/>
      <c r="D115" s="4">
        <v>4.2</v>
      </c>
      <c r="E115" s="4" t="s">
        <v>26</v>
      </c>
      <c r="F115" s="4" t="s">
        <v>26</v>
      </c>
      <c r="G115" s="4" t="s">
        <v>26</v>
      </c>
      <c r="H115" s="4" t="s">
        <v>26</v>
      </c>
      <c r="I115" s="4" t="s">
        <v>26</v>
      </c>
      <c r="J115" s="4">
        <v>100</v>
      </c>
      <c r="K115" s="4" t="s">
        <v>26</v>
      </c>
      <c r="L115" s="4">
        <v>30.7</v>
      </c>
      <c r="M115" s="4">
        <v>1.8</v>
      </c>
      <c r="N115" s="4" t="s">
        <v>26</v>
      </c>
      <c r="O115" s="4" t="s">
        <v>26</v>
      </c>
      <c r="P115" s="4" t="s">
        <v>26</v>
      </c>
      <c r="Q115" s="4">
        <v>600</v>
      </c>
      <c r="R115" s="4" t="s">
        <v>26</v>
      </c>
      <c r="S115" s="7" t="s">
        <v>26</v>
      </c>
      <c r="T115" s="7" t="s">
        <v>26</v>
      </c>
      <c r="U115" s="4" t="s">
        <v>26</v>
      </c>
      <c r="V115" s="7" t="s">
        <v>26</v>
      </c>
      <c r="W115" s="4">
        <v>56</v>
      </c>
      <c r="X115" s="4" t="s">
        <v>26</v>
      </c>
      <c r="Y115" s="4" t="s">
        <v>26</v>
      </c>
      <c r="Z115" s="4">
        <v>1300</v>
      </c>
      <c r="AA115" s="4">
        <v>500</v>
      </c>
      <c r="AB115" s="4">
        <v>200</v>
      </c>
      <c r="AC115" s="7" t="s">
        <v>26</v>
      </c>
      <c r="AD115" s="4" t="s">
        <v>26</v>
      </c>
      <c r="AE115" s="4" t="s">
        <v>26</v>
      </c>
      <c r="AF115" s="4" t="s">
        <v>26</v>
      </c>
      <c r="AG115" s="4" t="s">
        <v>26</v>
      </c>
      <c r="AH115" s="4">
        <v>93.379000000000005</v>
      </c>
      <c r="AI115" s="4" t="s">
        <v>26</v>
      </c>
      <c r="AJ115" s="4">
        <v>14.1</v>
      </c>
      <c r="AK115" s="4">
        <v>36.4</v>
      </c>
      <c r="AL115" s="3"/>
      <c r="AM115" s="3"/>
      <c r="AN115" s="4"/>
    </row>
    <row r="116" spans="1:40" x14ac:dyDescent="0.55000000000000004">
      <c r="A116" s="4" t="s">
        <v>219</v>
      </c>
      <c r="B116" s="4" t="s">
        <v>145</v>
      </c>
      <c r="C116" s="4"/>
      <c r="D116" s="4" t="s">
        <v>26</v>
      </c>
      <c r="E116" s="4" t="s">
        <v>26</v>
      </c>
      <c r="F116" s="4" t="s">
        <v>26</v>
      </c>
      <c r="G116" s="4" t="s">
        <v>26</v>
      </c>
      <c r="H116" s="4" t="s">
        <v>26</v>
      </c>
      <c r="I116" s="4" t="s">
        <v>26</v>
      </c>
      <c r="J116" s="4" t="s">
        <v>26</v>
      </c>
      <c r="K116" s="4" t="s">
        <v>26</v>
      </c>
      <c r="L116" s="4">
        <v>240.6</v>
      </c>
      <c r="M116" s="4">
        <v>22.2</v>
      </c>
      <c r="N116" s="4">
        <v>2.4</v>
      </c>
      <c r="O116" s="4" t="s">
        <v>26</v>
      </c>
      <c r="P116" s="4" t="s">
        <v>26</v>
      </c>
      <c r="Q116" s="4" t="s">
        <v>26</v>
      </c>
      <c r="R116" s="4" t="s">
        <v>26</v>
      </c>
      <c r="S116" s="7" t="s">
        <v>26</v>
      </c>
      <c r="T116" s="7" t="s">
        <v>26</v>
      </c>
      <c r="U116" s="4" t="s">
        <v>26</v>
      </c>
      <c r="V116" s="7" t="s">
        <v>26</v>
      </c>
      <c r="W116" s="4" t="s">
        <v>26</v>
      </c>
      <c r="X116" s="4" t="s">
        <v>26</v>
      </c>
      <c r="Y116" s="4" t="s">
        <v>26</v>
      </c>
      <c r="Z116" s="4" t="s">
        <v>26</v>
      </c>
      <c r="AA116" s="4" t="s">
        <v>26</v>
      </c>
      <c r="AB116" s="4" t="s">
        <v>26</v>
      </c>
      <c r="AC116" s="7" t="s">
        <v>26</v>
      </c>
      <c r="AD116" s="4">
        <v>63</v>
      </c>
      <c r="AE116" s="4" t="s">
        <v>26</v>
      </c>
      <c r="AF116" s="4" t="s">
        <v>26</v>
      </c>
      <c r="AG116" s="4" t="s">
        <v>26</v>
      </c>
      <c r="AH116" s="4" t="s">
        <v>26</v>
      </c>
      <c r="AI116" s="4" t="s">
        <v>26</v>
      </c>
      <c r="AJ116" s="4" t="s">
        <v>26</v>
      </c>
      <c r="AK116" s="4">
        <v>6.3090000000000002</v>
      </c>
      <c r="AL116" s="3"/>
      <c r="AM116" s="3"/>
      <c r="AN116" s="4"/>
    </row>
    <row r="117" spans="1:40" x14ac:dyDescent="0.55000000000000004">
      <c r="A117" s="4" t="s">
        <v>219</v>
      </c>
      <c r="B117" s="4" t="s">
        <v>146</v>
      </c>
      <c r="C117" s="4"/>
      <c r="D117" s="4" t="s">
        <v>26</v>
      </c>
      <c r="E117" s="4" t="s">
        <v>26</v>
      </c>
      <c r="F117" s="4" t="s">
        <v>26</v>
      </c>
      <c r="G117" s="4" t="s">
        <v>26</v>
      </c>
      <c r="H117" s="4" t="s">
        <v>26</v>
      </c>
      <c r="I117" s="4" t="s">
        <v>26</v>
      </c>
      <c r="J117" s="4" t="s">
        <v>26</v>
      </c>
      <c r="K117" s="4" t="s">
        <v>26</v>
      </c>
      <c r="L117" s="4">
        <v>0.6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4" t="s">
        <v>26</v>
      </c>
      <c r="S117" s="4" t="s">
        <v>26</v>
      </c>
      <c r="T117" s="4" t="s">
        <v>26</v>
      </c>
      <c r="U117" s="4" t="s">
        <v>26</v>
      </c>
      <c r="V117" s="7" t="s">
        <v>26</v>
      </c>
      <c r="W117" s="4" t="s">
        <v>26</v>
      </c>
      <c r="X117" s="4" t="s">
        <v>26</v>
      </c>
      <c r="Y117" s="4" t="s">
        <v>26</v>
      </c>
      <c r="Z117" s="4" t="s">
        <v>26</v>
      </c>
      <c r="AA117" s="4" t="s">
        <v>26</v>
      </c>
      <c r="AB117" s="4" t="s">
        <v>26</v>
      </c>
      <c r="AC117" s="7" t="s">
        <v>26</v>
      </c>
      <c r="AD117" s="4">
        <v>254.2</v>
      </c>
      <c r="AE117" s="4" t="s">
        <v>26</v>
      </c>
      <c r="AF117" s="4" t="s">
        <v>26</v>
      </c>
      <c r="AG117" s="4" t="s">
        <v>26</v>
      </c>
      <c r="AH117" s="4">
        <v>48.8</v>
      </c>
      <c r="AI117" s="4" t="s">
        <v>26</v>
      </c>
      <c r="AJ117" s="4" t="s">
        <v>26</v>
      </c>
      <c r="AK117" s="4" t="s">
        <v>26</v>
      </c>
      <c r="AL117" s="3"/>
      <c r="AM117" s="3"/>
      <c r="AN117" s="4"/>
    </row>
    <row r="118" spans="1:40" x14ac:dyDescent="0.55000000000000004">
      <c r="A118" s="4" t="s">
        <v>219</v>
      </c>
      <c r="B118" s="4" t="s">
        <v>147</v>
      </c>
      <c r="C118" s="4"/>
      <c r="D118" s="4" t="s">
        <v>26</v>
      </c>
      <c r="E118" s="4" t="s">
        <v>26</v>
      </c>
      <c r="F118" s="4" t="s">
        <v>26</v>
      </c>
      <c r="G118" s="4" t="s">
        <v>26</v>
      </c>
      <c r="H118" s="4" t="s">
        <v>26</v>
      </c>
      <c r="I118" s="4" t="s">
        <v>26</v>
      </c>
      <c r="J118" s="4" t="s">
        <v>26</v>
      </c>
      <c r="K118" s="4" t="s">
        <v>26</v>
      </c>
      <c r="L118" s="4">
        <v>246</v>
      </c>
      <c r="M118" s="4">
        <v>25.2</v>
      </c>
      <c r="N118" s="4">
        <v>2.6</v>
      </c>
      <c r="O118" s="4" t="s">
        <v>26</v>
      </c>
      <c r="P118" s="4" t="s">
        <v>26</v>
      </c>
      <c r="Q118" s="4" t="s">
        <v>26</v>
      </c>
      <c r="R118" s="4" t="s">
        <v>26</v>
      </c>
      <c r="S118" s="4" t="s">
        <v>26</v>
      </c>
      <c r="T118" s="4" t="s">
        <v>26</v>
      </c>
      <c r="U118" s="4" t="s">
        <v>26</v>
      </c>
      <c r="V118" s="7" t="s">
        <v>26</v>
      </c>
      <c r="W118" s="4" t="s">
        <v>26</v>
      </c>
      <c r="X118" s="4" t="s">
        <v>26</v>
      </c>
      <c r="Y118" s="4" t="s">
        <v>26</v>
      </c>
      <c r="Z118" s="4" t="s">
        <v>26</v>
      </c>
      <c r="AA118" s="4" t="s">
        <v>26</v>
      </c>
      <c r="AB118" s="4" t="s">
        <v>26</v>
      </c>
      <c r="AC118" s="7" t="s">
        <v>26</v>
      </c>
      <c r="AD118" s="4">
        <v>3804</v>
      </c>
      <c r="AE118" s="4" t="s">
        <v>26</v>
      </c>
      <c r="AF118" s="4" t="s">
        <v>26</v>
      </c>
      <c r="AG118" s="4" t="s">
        <v>26</v>
      </c>
      <c r="AH118" s="4" t="s">
        <v>26</v>
      </c>
      <c r="AI118" s="4" t="s">
        <v>26</v>
      </c>
      <c r="AJ118" s="4" t="s">
        <v>26</v>
      </c>
      <c r="AK118" s="4" t="s">
        <v>26</v>
      </c>
      <c r="AL118" s="3"/>
      <c r="AM118" s="3"/>
      <c r="AN118" s="4"/>
    </row>
    <row r="119" spans="1:40" x14ac:dyDescent="0.55000000000000004">
      <c r="A119" s="4" t="s">
        <v>219</v>
      </c>
      <c r="B119" s="4" t="s">
        <v>148</v>
      </c>
      <c r="C119" s="4"/>
      <c r="D119" s="4" t="s">
        <v>26</v>
      </c>
      <c r="E119" s="4" t="s">
        <v>26</v>
      </c>
      <c r="F119" s="4" t="s">
        <v>26</v>
      </c>
      <c r="G119" s="4" t="s">
        <v>26</v>
      </c>
      <c r="H119" s="4" t="s">
        <v>26</v>
      </c>
      <c r="I119" s="4" t="s">
        <v>26</v>
      </c>
      <c r="J119" s="4" t="s">
        <v>26</v>
      </c>
      <c r="K119" s="4" t="s">
        <v>26</v>
      </c>
      <c r="L119" s="4">
        <v>20.2</v>
      </c>
      <c r="M119" s="4">
        <v>1.7</v>
      </c>
      <c r="N119" s="4" t="s">
        <v>26</v>
      </c>
      <c r="O119" s="4" t="s">
        <v>26</v>
      </c>
      <c r="P119" s="4" t="s">
        <v>26</v>
      </c>
      <c r="Q119" s="4" t="s">
        <v>26</v>
      </c>
      <c r="R119" s="4" t="s">
        <v>26</v>
      </c>
      <c r="S119" s="4" t="s">
        <v>26</v>
      </c>
      <c r="T119" s="4" t="s">
        <v>26</v>
      </c>
      <c r="U119" s="4" t="s">
        <v>26</v>
      </c>
      <c r="V119" s="7" t="s">
        <v>26</v>
      </c>
      <c r="W119" s="4" t="s">
        <v>26</v>
      </c>
      <c r="X119" s="4" t="s">
        <v>26</v>
      </c>
      <c r="Y119" s="4" t="s">
        <v>26</v>
      </c>
      <c r="Z119" s="4" t="s">
        <v>26</v>
      </c>
      <c r="AA119" s="4" t="s">
        <v>26</v>
      </c>
      <c r="AB119" s="4" t="s">
        <v>26</v>
      </c>
      <c r="AC119" s="7" t="s">
        <v>26</v>
      </c>
      <c r="AD119" s="4">
        <v>266.2</v>
      </c>
      <c r="AE119" s="4" t="s">
        <v>26</v>
      </c>
      <c r="AF119" s="4" t="s">
        <v>26</v>
      </c>
      <c r="AG119" s="4" t="s">
        <v>26</v>
      </c>
      <c r="AH119" s="4" t="s">
        <v>26</v>
      </c>
      <c r="AI119" s="4" t="s">
        <v>26</v>
      </c>
      <c r="AJ119" s="4" t="s">
        <v>26</v>
      </c>
      <c r="AK119" s="4" t="s">
        <v>26</v>
      </c>
      <c r="AL119" s="3"/>
      <c r="AM119" s="3"/>
      <c r="AN119" s="4"/>
    </row>
    <row r="120" spans="1:40" x14ac:dyDescent="0.55000000000000004">
      <c r="A120" s="4" t="s">
        <v>219</v>
      </c>
      <c r="B120" s="4" t="s">
        <v>149</v>
      </c>
      <c r="C120" s="4"/>
      <c r="D120" s="4" t="s">
        <v>26</v>
      </c>
      <c r="E120" s="4" t="s">
        <v>26</v>
      </c>
      <c r="F120" s="4" t="s">
        <v>26</v>
      </c>
      <c r="G120" s="4" t="s">
        <v>26</v>
      </c>
      <c r="H120" s="4" t="s">
        <v>26</v>
      </c>
      <c r="I120" s="4" t="s">
        <v>26</v>
      </c>
      <c r="J120" s="4" t="s">
        <v>26</v>
      </c>
      <c r="K120" s="4" t="s">
        <v>26</v>
      </c>
      <c r="L120" s="4">
        <v>108</v>
      </c>
      <c r="M120" s="4">
        <v>8.6999999999999993</v>
      </c>
      <c r="N120" s="4">
        <v>0.8</v>
      </c>
      <c r="O120" s="4" t="s">
        <v>26</v>
      </c>
      <c r="P120" s="4" t="s">
        <v>26</v>
      </c>
      <c r="Q120" s="4" t="s">
        <v>26</v>
      </c>
      <c r="R120" s="4" t="s">
        <v>26</v>
      </c>
      <c r="S120" s="4" t="s">
        <v>26</v>
      </c>
      <c r="T120" s="4" t="s">
        <v>26</v>
      </c>
      <c r="U120" s="4" t="s">
        <v>26</v>
      </c>
      <c r="V120" s="7" t="s">
        <v>26</v>
      </c>
      <c r="W120" s="4" t="s">
        <v>26</v>
      </c>
      <c r="X120" s="4" t="s">
        <v>26</v>
      </c>
      <c r="Y120" s="4">
        <v>0</v>
      </c>
      <c r="Z120" s="4" t="s">
        <v>26</v>
      </c>
      <c r="AA120" s="4" t="s">
        <v>26</v>
      </c>
      <c r="AB120" s="4" t="s">
        <v>26</v>
      </c>
      <c r="AC120" s="7" t="s">
        <v>26</v>
      </c>
      <c r="AD120" s="4">
        <v>201.25</v>
      </c>
      <c r="AE120" s="4" t="s">
        <v>26</v>
      </c>
      <c r="AF120" s="4" t="s">
        <v>26</v>
      </c>
      <c r="AG120" s="4" t="s">
        <v>26</v>
      </c>
      <c r="AH120" s="4">
        <v>71</v>
      </c>
      <c r="AI120" s="4">
        <v>585.29999999999995</v>
      </c>
      <c r="AJ120" s="4" t="s">
        <v>26</v>
      </c>
      <c r="AK120" s="4" t="s">
        <v>26</v>
      </c>
      <c r="AL120" s="3"/>
      <c r="AM120" s="3"/>
      <c r="AN120" s="4"/>
    </row>
    <row r="121" spans="1:40" x14ac:dyDescent="0.55000000000000004">
      <c r="A121" s="4"/>
      <c r="B121" s="4"/>
      <c r="C121" s="4"/>
      <c r="D121" s="1" t="s">
        <v>231</v>
      </c>
      <c r="E121" s="1" t="s">
        <v>230</v>
      </c>
      <c r="F121" s="1" t="s">
        <v>229</v>
      </c>
      <c r="G121" s="1" t="s">
        <v>228</v>
      </c>
      <c r="H121" s="1" t="s">
        <v>0</v>
      </c>
      <c r="I121" s="1" t="s">
        <v>24</v>
      </c>
      <c r="J121" s="1" t="s">
        <v>222</v>
      </c>
      <c r="K121" s="1" t="s">
        <v>221</v>
      </c>
      <c r="L121" s="1" t="s">
        <v>1</v>
      </c>
      <c r="M121" s="1" t="s">
        <v>2</v>
      </c>
      <c r="N121" s="1" t="s">
        <v>3</v>
      </c>
      <c r="O121" s="1" t="s">
        <v>4</v>
      </c>
      <c r="P121" s="1" t="s">
        <v>5</v>
      </c>
      <c r="Q121" s="1" t="s">
        <v>6</v>
      </c>
      <c r="R121" s="1" t="s">
        <v>7</v>
      </c>
      <c r="S121" s="1" t="s">
        <v>234</v>
      </c>
      <c r="T121" s="1" t="s">
        <v>8</v>
      </c>
      <c r="U121" s="1" t="s">
        <v>9</v>
      </c>
      <c r="V121" s="1" t="s">
        <v>10</v>
      </c>
      <c r="W121" s="1" t="s">
        <v>11</v>
      </c>
      <c r="X121" s="1" t="s">
        <v>25</v>
      </c>
      <c r="Y121" s="1" t="s">
        <v>12</v>
      </c>
      <c r="Z121" s="1" t="s">
        <v>13</v>
      </c>
      <c r="AA121" s="1" t="s">
        <v>14</v>
      </c>
      <c r="AB121" s="1" t="s">
        <v>15</v>
      </c>
      <c r="AC121" s="1" t="s">
        <v>16</v>
      </c>
      <c r="AD121" s="1" t="s">
        <v>17</v>
      </c>
      <c r="AE121" s="1" t="s">
        <v>18</v>
      </c>
      <c r="AF121" s="1" t="s">
        <v>64</v>
      </c>
      <c r="AG121" s="1" t="s">
        <v>19</v>
      </c>
      <c r="AH121" s="1" t="s">
        <v>20</v>
      </c>
      <c r="AI121" s="1" t="s">
        <v>232</v>
      </c>
      <c r="AJ121" s="1" t="s">
        <v>21</v>
      </c>
      <c r="AK121" s="1" t="s">
        <v>153</v>
      </c>
      <c r="AL121" s="1"/>
      <c r="AM121" s="3"/>
      <c r="AN121" s="4"/>
    </row>
    <row r="122" spans="1:40" x14ac:dyDescent="0.55000000000000004">
      <c r="A122" s="8"/>
    </row>
    <row r="124" spans="1:40" x14ac:dyDescent="0.55000000000000004">
      <c r="A124" s="5"/>
    </row>
    <row r="126" spans="1:40" x14ac:dyDescent="0.55000000000000004">
      <c r="A126" s="5"/>
    </row>
  </sheetData>
  <pageMargins left="0.25" right="0.25" top="0.75" bottom="0.75" header="0.3" footer="0.3"/>
  <pageSetup fitToHeight="0" orientation="landscape" r:id="rId1"/>
  <ignoredErrors>
    <ignoredError sqref="D62 F62:G6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DE63-74D1-4F12-9D54-14574391DDE9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DBAA-5864-4674-8E8F-F4F4B2427D6B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cp:lastPrinted>2025-11-07T21:20:00Z</cp:lastPrinted>
  <dcterms:created xsi:type="dcterms:W3CDTF">2025-08-09T19:22:28Z</dcterms:created>
  <dcterms:modified xsi:type="dcterms:W3CDTF">2025-12-06T13:26:04Z</dcterms:modified>
</cp:coreProperties>
</file>