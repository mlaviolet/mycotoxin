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systemnh-my.sharepoint.com/personal/slg1044_usnh_edu/Documents/Toddler Study/Toddler study files 12.5.2025/"/>
    </mc:Choice>
  </mc:AlternateContent>
  <xr:revisionPtr revIDLastSave="0" documentId="8_{043D169D-B8C8-49F6-B74B-9A91F79D4816}" xr6:coauthVersionLast="47" xr6:coauthVersionMax="47" xr10:uidLastSave="{00000000-0000-0000-0000-000000000000}"/>
  <bookViews>
    <workbookView xWindow="204" yWindow="732" windowWidth="22836" windowHeight="12228" xr2:uid="{6297AAAA-0039-4C66-A8E1-35AD491873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2" i="1" l="1"/>
  <c r="AK13" i="1" s="1"/>
  <c r="H11" i="1"/>
  <c r="F11" i="1"/>
  <c r="E11" i="1"/>
  <c r="D11" i="1"/>
</calcChain>
</file>

<file path=xl/sharedStrings.xml><?xml version="1.0" encoding="utf-8"?>
<sst xmlns="http://schemas.openxmlformats.org/spreadsheetml/2006/main" count="938" uniqueCount="88">
  <si>
    <t>Number</t>
  </si>
  <si>
    <t>Beau</t>
  </si>
  <si>
    <t>Rocq</t>
  </si>
  <si>
    <t>15_Ace</t>
  </si>
  <si>
    <t>3_Ace</t>
  </si>
  <si>
    <t>AFB1</t>
  </si>
  <si>
    <t>AFB2</t>
  </si>
  <si>
    <t>AFG1</t>
  </si>
  <si>
    <t>AFG2</t>
  </si>
  <si>
    <t>DAS</t>
  </si>
  <si>
    <t>DON</t>
  </si>
  <si>
    <t>FX</t>
  </si>
  <si>
    <t>NEOS</t>
  </si>
  <si>
    <t>NIV</t>
  </si>
  <si>
    <t>T2</t>
  </si>
  <si>
    <t>ZONE</t>
  </si>
  <si>
    <t>Sterig</t>
  </si>
  <si>
    <t>CIT</t>
  </si>
  <si>
    <t>FB1</t>
  </si>
  <si>
    <t>FB2</t>
  </si>
  <si>
    <t>FB3</t>
  </si>
  <si>
    <t>OTA</t>
  </si>
  <si>
    <t>CPA</t>
  </si>
  <si>
    <t>GRIS</t>
  </si>
  <si>
    <t>Alpha</t>
  </si>
  <si>
    <t>Beta</t>
  </si>
  <si>
    <t>DOM</t>
  </si>
  <si>
    <t>ALT</t>
  </si>
  <si>
    <t xml:space="preserve">AME  </t>
  </si>
  <si>
    <t>Animal_crackers</t>
  </si>
  <si>
    <t>S251181258-233648</t>
  </si>
  <si>
    <t>nd</t>
  </si>
  <si>
    <t xml:space="preserve">S250551125-223929 </t>
  </si>
  <si>
    <t>Goldfish</t>
  </si>
  <si>
    <t>S251181258-233645</t>
  </si>
  <si>
    <t>np</t>
  </si>
  <si>
    <t>S251181258-233644</t>
  </si>
  <si>
    <t>S242961615-202005</t>
  </si>
  <si>
    <t>Goldfish_pretzel</t>
  </si>
  <si>
    <t>S251181258-233643</t>
  </si>
  <si>
    <t>Animal_crackers_whole_grain</t>
  </si>
  <si>
    <t>S242961615-201994</t>
  </si>
  <si>
    <t>Her_solo_biscuit</t>
  </si>
  <si>
    <t>S250551125-223923</t>
  </si>
  <si>
    <t>Grain_&amp;_grow_puffs</t>
  </si>
  <si>
    <t>S251181241-233640</t>
  </si>
  <si>
    <t>S251181241-233641</t>
  </si>
  <si>
    <t>LIL_crunchies_cheddar</t>
  </si>
  <si>
    <t>S251181241-233642</t>
  </si>
  <si>
    <t>Teddy_grahams</t>
  </si>
  <si>
    <t>S251181258-233647</t>
  </si>
  <si>
    <t>Bunny_grahams</t>
  </si>
  <si>
    <t>S242961615-202004</t>
  </si>
  <si>
    <t>Sunny_days_snack_bars</t>
  </si>
  <si>
    <t>S242961615-202003</t>
  </si>
  <si>
    <t>Baby_little_crunchies</t>
  </si>
  <si>
    <t>S242961615-202001</t>
  </si>
  <si>
    <t>Gerber_white_cheddar_&amp;_broccoli</t>
  </si>
  <si>
    <t>S242961615-201998</t>
  </si>
  <si>
    <t>Veggie_straws</t>
  </si>
  <si>
    <t>S242961615-201999</t>
  </si>
  <si>
    <t>Veggie_puffs</t>
  </si>
  <si>
    <t>S242961615-202000</t>
  </si>
  <si>
    <t>Sweet_potato_sticks</t>
  </si>
  <si>
    <t>S242961615-201995</t>
  </si>
  <si>
    <t>Oat_fiber_bar</t>
  </si>
  <si>
    <t>S242961615-201996</t>
  </si>
  <si>
    <t>Banana_biscotti</t>
  </si>
  <si>
    <t>S250551125-223927</t>
  </si>
  <si>
    <t>Chocolate_biscuits</t>
  </si>
  <si>
    <t>S250551125-223926</t>
  </si>
  <si>
    <t>Corn_snacks</t>
  </si>
  <si>
    <t>S250551125-223924</t>
  </si>
  <si>
    <t>Oat_bars</t>
  </si>
  <si>
    <t>S250551125-223922</t>
  </si>
  <si>
    <t>S250551125-223928</t>
  </si>
  <si>
    <t>Tubinhos_De_Crao_De_Bico</t>
  </si>
  <si>
    <t>S250551125-223931</t>
  </si>
  <si>
    <t>Cheez_It_Original</t>
  </si>
  <si>
    <t>S251181258-233646</t>
  </si>
  <si>
    <t>Organic_fruit_and_veggie_bars</t>
  </si>
  <si>
    <t>Food_tested</t>
  </si>
  <si>
    <t>Enn_A1</t>
  </si>
  <si>
    <t xml:space="preserve">Enn_A </t>
  </si>
  <si>
    <t>Enn_B1</t>
  </si>
  <si>
    <t>Enn_B</t>
  </si>
  <si>
    <t>HT_2</t>
  </si>
  <si>
    <t>DON_3_Glu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</si>
</sst>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1" fontId="0" fillId="2" borderId="0" xfId="0" applyNumberFormat="1" applyFill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D741-DC20-4DD5-AE56-9BACD5946116}">
  <dimension ref="A1:AK29"/>
  <sheetViews>
    <sheetView tabSelected="1" workbookViewId="0">
      <selection activeCell="D7" sqref="D7"/>
    </sheetView>
  </sheetViews>
  <sheetFormatPr defaultRowHeight="14.4" x14ac:dyDescent="0.55000000000000004"/>
  <sheetData>
    <row r="1" spans="1:37" x14ac:dyDescent="0.55000000000000004">
      <c r="A1" s="1" t="s">
        <v>81</v>
      </c>
      <c r="B1" s="1" t="s">
        <v>0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86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87</v>
      </c>
      <c r="AJ1" s="1" t="s">
        <v>27</v>
      </c>
      <c r="AK1" s="1" t="s">
        <v>28</v>
      </c>
    </row>
    <row r="2" spans="1:37" x14ac:dyDescent="0.55000000000000004">
      <c r="A2" t="s">
        <v>29</v>
      </c>
      <c r="B2" t="s">
        <v>30</v>
      </c>
      <c r="D2" s="2" t="s">
        <v>31</v>
      </c>
      <c r="E2" s="3" t="s">
        <v>31</v>
      </c>
      <c r="F2" s="3">
        <v>2.34</v>
      </c>
      <c r="G2" s="3">
        <v>2.73</v>
      </c>
      <c r="H2" s="2">
        <v>2.7</v>
      </c>
      <c r="I2" t="s">
        <v>31</v>
      </c>
      <c r="J2" s="3" t="s">
        <v>31</v>
      </c>
      <c r="K2" s="3" t="s">
        <v>31</v>
      </c>
      <c r="L2" s="3" t="s">
        <v>31</v>
      </c>
      <c r="M2" s="3" t="s">
        <v>31</v>
      </c>
      <c r="N2" s="3" t="s">
        <v>31</v>
      </c>
      <c r="O2" s="3" t="s">
        <v>31</v>
      </c>
      <c r="P2" s="3" t="s">
        <v>31</v>
      </c>
      <c r="Q2" s="3">
        <v>100</v>
      </c>
      <c r="R2" s="3" t="s">
        <v>31</v>
      </c>
      <c r="S2" s="3" t="s">
        <v>31</v>
      </c>
      <c r="T2" s="2" t="s">
        <v>31</v>
      </c>
      <c r="U2" s="3" t="s">
        <v>31</v>
      </c>
      <c r="V2" s="2" t="s">
        <v>31</v>
      </c>
      <c r="W2" s="3" t="s">
        <v>31</v>
      </c>
      <c r="X2" s="3" t="s">
        <v>31</v>
      </c>
      <c r="Y2" s="3" t="s">
        <v>31</v>
      </c>
      <c r="Z2" s="3" t="s">
        <v>31</v>
      </c>
      <c r="AA2" s="3" t="s">
        <v>31</v>
      </c>
      <c r="AB2" s="3" t="s">
        <v>31</v>
      </c>
      <c r="AC2" s="3" t="s">
        <v>31</v>
      </c>
      <c r="AD2" s="3" t="s">
        <v>31</v>
      </c>
      <c r="AE2" s="3" t="s">
        <v>31</v>
      </c>
      <c r="AF2" s="3" t="s">
        <v>31</v>
      </c>
      <c r="AG2" s="3" t="s">
        <v>31</v>
      </c>
      <c r="AH2" s="3" t="s">
        <v>31</v>
      </c>
      <c r="AI2" s="3" t="s">
        <v>31</v>
      </c>
      <c r="AJ2" s="3" t="s">
        <v>31</v>
      </c>
      <c r="AK2" s="3">
        <v>3.8</v>
      </c>
    </row>
    <row r="3" spans="1:37" x14ac:dyDescent="0.55000000000000004">
      <c r="A3" t="s">
        <v>29</v>
      </c>
      <c r="B3" t="s">
        <v>32</v>
      </c>
      <c r="D3" s="3">
        <v>9.3540713632204948</v>
      </c>
      <c r="E3" s="3">
        <v>10.245788667687595</v>
      </c>
      <c r="F3" s="3">
        <v>9.5105501130369259</v>
      </c>
      <c r="G3" s="3">
        <v>18.74416017797553</v>
      </c>
      <c r="H3" s="2">
        <v>4.3511585085161881</v>
      </c>
      <c r="I3" t="s">
        <v>31</v>
      </c>
      <c r="J3" s="3" t="s">
        <v>31</v>
      </c>
      <c r="K3" s="3" t="s">
        <v>31</v>
      </c>
      <c r="L3" s="3" t="s">
        <v>31</v>
      </c>
      <c r="M3" s="3" t="s">
        <v>31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2" t="s">
        <v>31</v>
      </c>
      <c r="U3" s="3" t="s">
        <v>31</v>
      </c>
      <c r="V3" s="2" t="s">
        <v>31</v>
      </c>
      <c r="W3" s="3" t="s">
        <v>31</v>
      </c>
      <c r="X3" s="3" t="s">
        <v>31</v>
      </c>
      <c r="Y3" s="3" t="s">
        <v>31</v>
      </c>
      <c r="Z3" s="3" t="s">
        <v>31</v>
      </c>
      <c r="AA3" s="3" t="s">
        <v>31</v>
      </c>
      <c r="AB3" s="3" t="s">
        <v>31</v>
      </c>
      <c r="AC3" s="3" t="s">
        <v>31</v>
      </c>
      <c r="AD3" s="3" t="s">
        <v>31</v>
      </c>
      <c r="AE3" s="3" t="s">
        <v>31</v>
      </c>
      <c r="AF3" s="3" t="s">
        <v>31</v>
      </c>
      <c r="AG3" s="3" t="s">
        <v>31</v>
      </c>
      <c r="AH3" s="3" t="s">
        <v>31</v>
      </c>
      <c r="AI3" s="3" t="s">
        <v>31</v>
      </c>
      <c r="AJ3" s="3" t="s">
        <v>31</v>
      </c>
      <c r="AK3" s="3">
        <v>0</v>
      </c>
    </row>
    <row r="4" spans="1:37" x14ac:dyDescent="0.55000000000000004">
      <c r="A4" t="s">
        <v>33</v>
      </c>
      <c r="B4" t="s">
        <v>34</v>
      </c>
      <c r="D4" s="2" t="s">
        <v>31</v>
      </c>
      <c r="E4" s="3" t="s">
        <v>35</v>
      </c>
      <c r="F4" s="3" t="s">
        <v>31</v>
      </c>
      <c r="G4" s="3">
        <v>3.35</v>
      </c>
      <c r="H4" s="2">
        <v>1.78</v>
      </c>
      <c r="I4" t="s">
        <v>31</v>
      </c>
      <c r="J4" s="3">
        <v>100</v>
      </c>
      <c r="K4" s="3" t="s">
        <v>31</v>
      </c>
      <c r="L4" s="3" t="s">
        <v>31</v>
      </c>
      <c r="M4" s="3" t="s">
        <v>31</v>
      </c>
      <c r="N4" s="3" t="s">
        <v>31</v>
      </c>
      <c r="O4" s="3" t="s">
        <v>31</v>
      </c>
      <c r="P4" s="3" t="s">
        <v>31</v>
      </c>
      <c r="Q4" s="3" t="s">
        <v>31</v>
      </c>
      <c r="R4" s="3" t="s">
        <v>31</v>
      </c>
      <c r="S4" s="3" t="s">
        <v>31</v>
      </c>
      <c r="T4" s="2" t="s">
        <v>31</v>
      </c>
      <c r="U4" s="3" t="s">
        <v>31</v>
      </c>
      <c r="V4" s="2" t="s">
        <v>31</v>
      </c>
      <c r="W4" s="3" t="s">
        <v>31</v>
      </c>
      <c r="X4" s="3" t="s">
        <v>31</v>
      </c>
      <c r="Y4" s="3" t="s">
        <v>31</v>
      </c>
      <c r="Z4" s="3" t="s">
        <v>31</v>
      </c>
      <c r="AA4" s="3" t="s">
        <v>31</v>
      </c>
      <c r="AB4" s="3" t="s">
        <v>31</v>
      </c>
      <c r="AC4" s="3" t="s">
        <v>31</v>
      </c>
      <c r="AD4" s="3" t="s">
        <v>31</v>
      </c>
      <c r="AE4" s="3" t="s">
        <v>31</v>
      </c>
      <c r="AF4" s="3" t="s">
        <v>31</v>
      </c>
      <c r="AG4" s="3" t="s">
        <v>31</v>
      </c>
      <c r="AH4" s="3" t="s">
        <v>31</v>
      </c>
      <c r="AI4" s="3" t="s">
        <v>31</v>
      </c>
      <c r="AJ4" s="3" t="s">
        <v>31</v>
      </c>
      <c r="AK4" s="3">
        <v>6</v>
      </c>
    </row>
    <row r="5" spans="1:37" x14ac:dyDescent="0.55000000000000004">
      <c r="A5" t="s">
        <v>33</v>
      </c>
      <c r="B5" t="s">
        <v>36</v>
      </c>
      <c r="D5" s="2" t="s">
        <v>31</v>
      </c>
      <c r="E5" s="2" t="s">
        <v>31</v>
      </c>
      <c r="F5" s="2" t="s">
        <v>31</v>
      </c>
      <c r="G5" s="2" t="s">
        <v>31</v>
      </c>
      <c r="H5" s="2" t="s">
        <v>31</v>
      </c>
      <c r="I5" t="s">
        <v>31</v>
      </c>
      <c r="J5" s="3" t="s">
        <v>31</v>
      </c>
      <c r="K5" s="3" t="s">
        <v>31</v>
      </c>
      <c r="L5" s="3" t="s">
        <v>31</v>
      </c>
      <c r="M5" s="3" t="s">
        <v>31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2" t="s">
        <v>31</v>
      </c>
      <c r="U5" s="3" t="s">
        <v>31</v>
      </c>
      <c r="V5" s="2" t="s">
        <v>31</v>
      </c>
      <c r="W5" s="3" t="s">
        <v>31</v>
      </c>
      <c r="X5" s="3" t="s">
        <v>31</v>
      </c>
      <c r="Y5" s="3" t="s">
        <v>31</v>
      </c>
      <c r="Z5" s="3" t="s">
        <v>31</v>
      </c>
      <c r="AA5" s="3" t="s">
        <v>31</v>
      </c>
      <c r="AB5" s="3" t="s">
        <v>31</v>
      </c>
      <c r="AC5" s="3" t="s">
        <v>31</v>
      </c>
      <c r="AD5" s="3" t="s">
        <v>31</v>
      </c>
      <c r="AE5" s="3" t="s">
        <v>31</v>
      </c>
      <c r="AF5" s="3" t="s">
        <v>31</v>
      </c>
      <c r="AG5" s="3" t="s">
        <v>31</v>
      </c>
      <c r="AH5" s="3" t="s">
        <v>31</v>
      </c>
      <c r="AI5" s="3" t="s">
        <v>31</v>
      </c>
      <c r="AJ5" s="3" t="s">
        <v>31</v>
      </c>
      <c r="AK5" s="3" t="s">
        <v>31</v>
      </c>
    </row>
    <row r="6" spans="1:37" x14ac:dyDescent="0.55000000000000004">
      <c r="A6" t="s">
        <v>33</v>
      </c>
      <c r="B6" t="s">
        <v>37</v>
      </c>
      <c r="D6" s="2" t="s">
        <v>31</v>
      </c>
      <c r="E6" s="2" t="s">
        <v>31</v>
      </c>
      <c r="F6" s="3">
        <v>2.8</v>
      </c>
      <c r="G6" s="3">
        <v>9.6999999999999993</v>
      </c>
      <c r="H6" s="2" t="s">
        <v>31</v>
      </c>
      <c r="I6" t="s">
        <v>31</v>
      </c>
      <c r="J6" s="3" t="s">
        <v>31</v>
      </c>
      <c r="K6" s="3" t="s">
        <v>31</v>
      </c>
      <c r="L6" s="3" t="s">
        <v>31</v>
      </c>
      <c r="M6" s="3" t="s">
        <v>31</v>
      </c>
      <c r="N6" s="3" t="s">
        <v>31</v>
      </c>
      <c r="O6" s="3" t="s">
        <v>31</v>
      </c>
      <c r="P6" s="3" t="s">
        <v>31</v>
      </c>
      <c r="Q6" s="3" t="s">
        <v>31</v>
      </c>
      <c r="R6" s="3" t="s">
        <v>31</v>
      </c>
      <c r="S6" s="3" t="s">
        <v>31</v>
      </c>
      <c r="T6" s="2" t="s">
        <v>31</v>
      </c>
      <c r="U6" s="3" t="s">
        <v>31</v>
      </c>
      <c r="V6" s="2" t="s">
        <v>31</v>
      </c>
      <c r="W6" s="3" t="s">
        <v>31</v>
      </c>
      <c r="X6" s="3" t="s">
        <v>31</v>
      </c>
      <c r="Y6" s="3" t="s">
        <v>31</v>
      </c>
      <c r="Z6" s="3" t="s">
        <v>31</v>
      </c>
      <c r="AA6" s="3" t="s">
        <v>31</v>
      </c>
      <c r="AB6" s="3" t="s">
        <v>31</v>
      </c>
      <c r="AC6" s="3" t="s">
        <v>31</v>
      </c>
      <c r="AD6" s="3" t="s">
        <v>31</v>
      </c>
      <c r="AE6" s="3" t="s">
        <v>31</v>
      </c>
      <c r="AF6" s="3" t="s">
        <v>31</v>
      </c>
      <c r="AG6" s="3" t="s">
        <v>31</v>
      </c>
      <c r="AH6" s="3" t="s">
        <v>31</v>
      </c>
      <c r="AI6" s="3" t="s">
        <v>31</v>
      </c>
      <c r="AJ6" s="3" t="s">
        <v>31</v>
      </c>
      <c r="AK6" s="3" t="s">
        <v>31</v>
      </c>
    </row>
    <row r="7" spans="1:37" x14ac:dyDescent="0.55000000000000004">
      <c r="A7" t="s">
        <v>38</v>
      </c>
      <c r="B7" t="s">
        <v>39</v>
      </c>
      <c r="D7" s="3" t="s">
        <v>31</v>
      </c>
      <c r="E7" s="3" t="s">
        <v>31</v>
      </c>
      <c r="F7" s="3">
        <v>2.82</v>
      </c>
      <c r="G7" s="3">
        <v>9.8000000000000007</v>
      </c>
      <c r="H7" s="3">
        <v>2.4</v>
      </c>
      <c r="I7" t="s">
        <v>31</v>
      </c>
      <c r="J7" s="3" t="s">
        <v>31</v>
      </c>
      <c r="K7" s="3" t="s">
        <v>31</v>
      </c>
      <c r="L7" s="3" t="s">
        <v>31</v>
      </c>
      <c r="M7" s="3" t="s">
        <v>31</v>
      </c>
      <c r="N7" s="3" t="s">
        <v>31</v>
      </c>
      <c r="O7" s="3" t="s">
        <v>31</v>
      </c>
      <c r="P7" s="3" t="s">
        <v>31</v>
      </c>
      <c r="Q7" s="3" t="s">
        <v>31</v>
      </c>
      <c r="R7" s="3" t="s">
        <v>31</v>
      </c>
      <c r="S7" s="3" t="s">
        <v>31</v>
      </c>
      <c r="T7" s="2" t="s">
        <v>31</v>
      </c>
      <c r="U7" s="3" t="s">
        <v>31</v>
      </c>
      <c r="V7" s="2" t="s">
        <v>31</v>
      </c>
      <c r="W7" s="3" t="s">
        <v>31</v>
      </c>
      <c r="X7" s="3" t="s">
        <v>31</v>
      </c>
      <c r="Y7" s="3" t="s">
        <v>31</v>
      </c>
      <c r="Z7" s="3" t="s">
        <v>31</v>
      </c>
      <c r="AA7" s="3" t="s">
        <v>31</v>
      </c>
      <c r="AB7" s="3" t="s">
        <v>31</v>
      </c>
      <c r="AC7" s="3" t="s">
        <v>31</v>
      </c>
      <c r="AD7" s="3" t="s">
        <v>31</v>
      </c>
      <c r="AE7" s="3" t="s">
        <v>31</v>
      </c>
      <c r="AF7" s="3" t="s">
        <v>31</v>
      </c>
      <c r="AG7" s="3" t="s">
        <v>31</v>
      </c>
      <c r="AH7" s="3" t="s">
        <v>31</v>
      </c>
      <c r="AI7" s="3" t="s">
        <v>31</v>
      </c>
      <c r="AJ7" s="3" t="s">
        <v>31</v>
      </c>
      <c r="AK7" s="3">
        <v>6.7</v>
      </c>
    </row>
    <row r="8" spans="1:37" x14ac:dyDescent="0.55000000000000004">
      <c r="A8" t="s">
        <v>40</v>
      </c>
      <c r="B8" t="s">
        <v>41</v>
      </c>
      <c r="D8" s="3">
        <v>13</v>
      </c>
      <c r="E8" s="3">
        <v>6</v>
      </c>
      <c r="F8" s="3">
        <v>43</v>
      </c>
      <c r="G8" s="3">
        <v>31</v>
      </c>
      <c r="H8" s="3">
        <v>50.5</v>
      </c>
      <c r="I8" t="s">
        <v>31</v>
      </c>
      <c r="J8" s="3" t="s">
        <v>31</v>
      </c>
      <c r="K8" s="3" t="s">
        <v>31</v>
      </c>
      <c r="L8" s="3" t="s">
        <v>31</v>
      </c>
      <c r="M8" s="3" t="s">
        <v>31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2" t="s">
        <v>31</v>
      </c>
      <c r="U8" s="3" t="s">
        <v>31</v>
      </c>
      <c r="V8" s="2">
        <v>10.130000000000001</v>
      </c>
      <c r="W8" s="3" t="s">
        <v>31</v>
      </c>
      <c r="X8" s="3" t="s">
        <v>31</v>
      </c>
      <c r="Y8" s="3" t="s">
        <v>31</v>
      </c>
      <c r="Z8" s="3" t="s">
        <v>31</v>
      </c>
      <c r="AA8" s="3" t="s">
        <v>31</v>
      </c>
      <c r="AB8" s="3" t="s">
        <v>31</v>
      </c>
      <c r="AC8" s="3" t="s">
        <v>31</v>
      </c>
      <c r="AD8" s="3" t="s">
        <v>31</v>
      </c>
      <c r="AE8" s="3" t="s">
        <v>31</v>
      </c>
      <c r="AF8" s="3" t="s">
        <v>31</v>
      </c>
      <c r="AG8" s="3" t="s">
        <v>31</v>
      </c>
      <c r="AH8" s="3" t="s">
        <v>31</v>
      </c>
      <c r="AI8" s="3" t="s">
        <v>31</v>
      </c>
      <c r="AJ8" s="3" t="s">
        <v>31</v>
      </c>
      <c r="AK8" s="3" t="s">
        <v>31</v>
      </c>
    </row>
    <row r="9" spans="1:37" x14ac:dyDescent="0.55000000000000004">
      <c r="A9" t="s">
        <v>42</v>
      </c>
      <c r="B9" t="s">
        <v>43</v>
      </c>
      <c r="D9" s="3">
        <v>10.6</v>
      </c>
      <c r="E9" s="3">
        <v>12.4</v>
      </c>
      <c r="F9" s="3">
        <v>8.4</v>
      </c>
      <c r="G9" s="3">
        <v>16</v>
      </c>
      <c r="H9" s="3">
        <v>4.5</v>
      </c>
      <c r="I9" t="s">
        <v>31</v>
      </c>
      <c r="J9" s="3" t="s">
        <v>31</v>
      </c>
      <c r="K9" s="3" t="s">
        <v>31</v>
      </c>
      <c r="L9" s="3">
        <v>0.64</v>
      </c>
      <c r="M9" s="3" t="s">
        <v>31</v>
      </c>
      <c r="N9" s="3" t="s">
        <v>31</v>
      </c>
      <c r="O9" s="3" t="s">
        <v>31</v>
      </c>
      <c r="P9" s="3" t="s">
        <v>31</v>
      </c>
      <c r="Q9" s="3" t="s">
        <v>31</v>
      </c>
      <c r="R9" s="3" t="s">
        <v>31</v>
      </c>
      <c r="S9" s="3" t="s">
        <v>31</v>
      </c>
      <c r="T9" s="2" t="s">
        <v>31</v>
      </c>
      <c r="U9" s="3" t="s">
        <v>31</v>
      </c>
      <c r="V9" s="2" t="s">
        <v>31</v>
      </c>
      <c r="W9" s="3" t="s">
        <v>31</v>
      </c>
      <c r="X9" s="3" t="s">
        <v>31</v>
      </c>
      <c r="Y9" s="3" t="s">
        <v>31</v>
      </c>
      <c r="Z9" s="3" t="s">
        <v>31</v>
      </c>
      <c r="AA9" s="3" t="s">
        <v>31</v>
      </c>
      <c r="AB9" s="3" t="s">
        <v>31</v>
      </c>
      <c r="AC9" s="3" t="s">
        <v>31</v>
      </c>
      <c r="AD9" s="3" t="s">
        <v>31</v>
      </c>
      <c r="AE9" s="3" t="s">
        <v>31</v>
      </c>
      <c r="AF9" s="3" t="s">
        <v>31</v>
      </c>
      <c r="AG9" s="3" t="s">
        <v>31</v>
      </c>
      <c r="AH9" s="3" t="s">
        <v>31</v>
      </c>
      <c r="AI9" s="3" t="s">
        <v>31</v>
      </c>
      <c r="AJ9" s="3" t="s">
        <v>31</v>
      </c>
      <c r="AK9" s="3" t="s">
        <v>31</v>
      </c>
    </row>
    <row r="10" spans="1:37" x14ac:dyDescent="0.55000000000000004">
      <c r="A10" t="s">
        <v>44</v>
      </c>
      <c r="B10" t="s">
        <v>45</v>
      </c>
      <c r="D10" s="2" t="s">
        <v>31</v>
      </c>
      <c r="E10" s="2" t="s">
        <v>31</v>
      </c>
      <c r="F10" s="2" t="s">
        <v>31</v>
      </c>
      <c r="G10" s="2" t="s">
        <v>31</v>
      </c>
      <c r="H10" s="2" t="s">
        <v>31</v>
      </c>
      <c r="I10" t="s">
        <v>31</v>
      </c>
      <c r="J10" s="3" t="s">
        <v>31</v>
      </c>
      <c r="K10" s="3" t="s">
        <v>31</v>
      </c>
      <c r="L10" s="3" t="s">
        <v>31</v>
      </c>
      <c r="M10" s="3" t="s">
        <v>31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2" t="s">
        <v>31</v>
      </c>
      <c r="U10" s="3" t="s">
        <v>31</v>
      </c>
      <c r="V10" s="2" t="s">
        <v>31</v>
      </c>
      <c r="W10" s="3" t="s">
        <v>31</v>
      </c>
      <c r="X10" s="3" t="s">
        <v>31</v>
      </c>
      <c r="Y10" s="3" t="s">
        <v>31</v>
      </c>
      <c r="Z10" s="3" t="s">
        <v>31</v>
      </c>
      <c r="AA10" s="3" t="s">
        <v>31</v>
      </c>
      <c r="AB10" s="3" t="s">
        <v>31</v>
      </c>
      <c r="AC10" s="3" t="s">
        <v>31</v>
      </c>
      <c r="AD10" s="3" t="s">
        <v>31</v>
      </c>
      <c r="AE10" s="3" t="s">
        <v>31</v>
      </c>
      <c r="AF10" s="3" t="s">
        <v>31</v>
      </c>
      <c r="AG10" s="3" t="s">
        <v>31</v>
      </c>
      <c r="AH10" s="3" t="s">
        <v>31</v>
      </c>
      <c r="AI10" s="3" t="s">
        <v>31</v>
      </c>
      <c r="AJ10" s="3" t="s">
        <v>31</v>
      </c>
      <c r="AK10" s="3">
        <v>3.0535714285714284</v>
      </c>
    </row>
    <row r="11" spans="1:37" x14ac:dyDescent="0.55000000000000004">
      <c r="A11" t="s">
        <v>44</v>
      </c>
      <c r="B11" t="s">
        <v>46</v>
      </c>
      <c r="D11" s="3">
        <f>AVERAGE(D9:D10)-1.95</f>
        <v>8.65</v>
      </c>
      <c r="E11" s="3">
        <f>AVERAGE(E7:E10)-2.7</f>
        <v>6.4999999999999991</v>
      </c>
      <c r="F11" s="3">
        <f>AVERAGE(F6:F10)-1.1</f>
        <v>13.154999999999999</v>
      </c>
      <c r="G11" s="3" t="s">
        <v>31</v>
      </c>
      <c r="H11" s="3">
        <f>AVERAGE(H6:H10)-2.9</f>
        <v>16.233333333333334</v>
      </c>
      <c r="I11" t="s">
        <v>31</v>
      </c>
      <c r="J11" s="3" t="s">
        <v>31</v>
      </c>
      <c r="K11" s="3" t="s">
        <v>31</v>
      </c>
      <c r="L11" s="3" t="s">
        <v>31</v>
      </c>
      <c r="M11" s="3" t="s">
        <v>31</v>
      </c>
      <c r="N11" s="3" t="s">
        <v>31</v>
      </c>
      <c r="O11" s="3" t="s">
        <v>31</v>
      </c>
      <c r="P11" s="3" t="s">
        <v>31</v>
      </c>
      <c r="Q11" s="3" t="s">
        <v>31</v>
      </c>
      <c r="R11" s="3" t="s">
        <v>31</v>
      </c>
      <c r="S11" s="3" t="s">
        <v>31</v>
      </c>
      <c r="T11" s="2" t="s">
        <v>31</v>
      </c>
      <c r="U11" s="3" t="s">
        <v>31</v>
      </c>
      <c r="V11" s="2" t="s">
        <v>31</v>
      </c>
      <c r="W11" s="3" t="s">
        <v>31</v>
      </c>
      <c r="X11" s="3" t="s">
        <v>31</v>
      </c>
      <c r="Y11" s="3" t="s">
        <v>31</v>
      </c>
      <c r="Z11" s="3" t="s">
        <v>31</v>
      </c>
      <c r="AA11" s="3" t="s">
        <v>31</v>
      </c>
      <c r="AB11" s="3" t="s">
        <v>31</v>
      </c>
      <c r="AC11" s="3" t="s">
        <v>31</v>
      </c>
      <c r="AD11" s="3" t="s">
        <v>31</v>
      </c>
      <c r="AE11" s="3" t="s">
        <v>31</v>
      </c>
      <c r="AF11" s="3" t="s">
        <v>31</v>
      </c>
      <c r="AG11" s="3" t="s">
        <v>31</v>
      </c>
      <c r="AH11" s="3" t="s">
        <v>31</v>
      </c>
      <c r="AI11" s="3" t="s">
        <v>31</v>
      </c>
      <c r="AJ11" s="3" t="s">
        <v>31</v>
      </c>
      <c r="AK11" s="3">
        <v>2.7150096525096528</v>
      </c>
    </row>
    <row r="12" spans="1:37" x14ac:dyDescent="0.55000000000000004">
      <c r="A12" t="s">
        <v>47</v>
      </c>
      <c r="B12" t="s">
        <v>48</v>
      </c>
      <c r="D12" s="3">
        <v>3.28</v>
      </c>
      <c r="E12" s="3">
        <v>4.45</v>
      </c>
      <c r="F12" s="2" t="s">
        <v>31</v>
      </c>
      <c r="G12" s="3" t="s">
        <v>31</v>
      </c>
      <c r="H12" s="3">
        <v>3.5</v>
      </c>
      <c r="I12" t="s">
        <v>31</v>
      </c>
      <c r="J12" s="3" t="s">
        <v>31</v>
      </c>
      <c r="K12" s="3" t="s">
        <v>31</v>
      </c>
      <c r="L12" s="3" t="s">
        <v>31</v>
      </c>
      <c r="M12" s="3" t="s">
        <v>31</v>
      </c>
      <c r="N12" s="3" t="s">
        <v>31</v>
      </c>
      <c r="O12" s="3" t="s">
        <v>31</v>
      </c>
      <c r="P12" s="3" t="s">
        <v>31</v>
      </c>
      <c r="Q12" s="3" t="s">
        <v>31</v>
      </c>
      <c r="R12" s="3" t="s">
        <v>31</v>
      </c>
      <c r="S12" s="3" t="s">
        <v>31</v>
      </c>
      <c r="T12" s="2" t="s">
        <v>31</v>
      </c>
      <c r="U12" s="3" t="s">
        <v>31</v>
      </c>
      <c r="V12" s="2" t="s">
        <v>31</v>
      </c>
      <c r="W12" s="3" t="s">
        <v>31</v>
      </c>
      <c r="X12" s="3" t="s">
        <v>31</v>
      </c>
      <c r="Y12" s="3" t="s">
        <v>31</v>
      </c>
      <c r="Z12" s="3" t="s">
        <v>31</v>
      </c>
      <c r="AA12" s="3" t="s">
        <v>31</v>
      </c>
      <c r="AB12" s="3" t="s">
        <v>31</v>
      </c>
      <c r="AC12" s="3" t="s">
        <v>31</v>
      </c>
      <c r="AD12" s="3" t="s">
        <v>31</v>
      </c>
      <c r="AE12" s="3" t="s">
        <v>31</v>
      </c>
      <c r="AF12" s="3" t="s">
        <v>31</v>
      </c>
      <c r="AG12" s="3" t="s">
        <v>31</v>
      </c>
      <c r="AH12" s="3" t="s">
        <v>31</v>
      </c>
      <c r="AI12" s="3" t="s">
        <v>31</v>
      </c>
      <c r="AJ12" s="3" t="s">
        <v>31</v>
      </c>
      <c r="AK12" s="3">
        <f>AVERAGE(AK10:AK11)</f>
        <v>2.8842905405405403</v>
      </c>
    </row>
    <row r="13" spans="1:37" x14ac:dyDescent="0.55000000000000004">
      <c r="A13" t="s">
        <v>49</v>
      </c>
      <c r="B13" t="s">
        <v>50</v>
      </c>
      <c r="D13" s="3">
        <v>4.7</v>
      </c>
      <c r="E13" s="3">
        <v>6.5</v>
      </c>
      <c r="F13" s="3">
        <v>2.1</v>
      </c>
      <c r="G13" s="3" t="s">
        <v>31</v>
      </c>
      <c r="H13" s="3">
        <v>5.66</v>
      </c>
      <c r="I13" t="s">
        <v>31</v>
      </c>
      <c r="J13" s="3" t="s">
        <v>31</v>
      </c>
      <c r="K13" s="3" t="s">
        <v>31</v>
      </c>
      <c r="L13" s="3" t="s">
        <v>31</v>
      </c>
      <c r="M13" s="3" t="s">
        <v>31</v>
      </c>
      <c r="N13" s="3" t="s">
        <v>31</v>
      </c>
      <c r="O13" s="3" t="s">
        <v>31</v>
      </c>
      <c r="P13" s="3" t="s">
        <v>31</v>
      </c>
      <c r="Q13" s="3" t="s">
        <v>31</v>
      </c>
      <c r="R13" s="3" t="s">
        <v>31</v>
      </c>
      <c r="S13" s="3" t="s">
        <v>31</v>
      </c>
      <c r="T13" s="2" t="s">
        <v>31</v>
      </c>
      <c r="U13" s="3" t="s">
        <v>31</v>
      </c>
      <c r="V13" s="2" t="s">
        <v>31</v>
      </c>
      <c r="W13" s="3" t="s">
        <v>31</v>
      </c>
      <c r="X13" s="3" t="s">
        <v>31</v>
      </c>
      <c r="Y13" s="3" t="s">
        <v>31</v>
      </c>
      <c r="Z13" s="3" t="s">
        <v>31</v>
      </c>
      <c r="AA13" s="3" t="s">
        <v>31</v>
      </c>
      <c r="AB13" s="3" t="s">
        <v>31</v>
      </c>
      <c r="AC13" s="3" t="s">
        <v>31</v>
      </c>
      <c r="AD13" s="3" t="s">
        <v>31</v>
      </c>
      <c r="AE13" s="3" t="s">
        <v>31</v>
      </c>
      <c r="AF13" s="3" t="s">
        <v>31</v>
      </c>
      <c r="AG13" s="3" t="s">
        <v>31</v>
      </c>
      <c r="AH13" s="3" t="s">
        <v>31</v>
      </c>
      <c r="AI13" s="3" t="s">
        <v>31</v>
      </c>
      <c r="AJ13" s="3" t="s">
        <v>31</v>
      </c>
      <c r="AK13" s="3">
        <f>AVERAGE(AK11:AK12)</f>
        <v>2.7996500965250966</v>
      </c>
    </row>
    <row r="14" spans="1:37" x14ac:dyDescent="0.55000000000000004">
      <c r="A14" t="s">
        <v>51</v>
      </c>
      <c r="B14" t="s">
        <v>52</v>
      </c>
      <c r="D14" s="2">
        <v>1.7909999999999999</v>
      </c>
      <c r="E14" s="3">
        <v>3.1219999999999999</v>
      </c>
      <c r="F14" s="3">
        <v>9.4819999999999993</v>
      </c>
      <c r="G14" s="3">
        <v>3.5579999999999998</v>
      </c>
      <c r="H14" s="3">
        <v>42.895000000000003</v>
      </c>
      <c r="I14" t="s">
        <v>31</v>
      </c>
      <c r="J14" s="3" t="s">
        <v>31</v>
      </c>
      <c r="K14" s="3" t="s">
        <v>31</v>
      </c>
      <c r="L14" s="3" t="s">
        <v>31</v>
      </c>
      <c r="M14" s="3" t="s">
        <v>31</v>
      </c>
      <c r="N14" s="3" t="s">
        <v>31</v>
      </c>
      <c r="O14" s="3" t="s">
        <v>31</v>
      </c>
      <c r="P14" s="3" t="s">
        <v>31</v>
      </c>
      <c r="Q14" s="3" t="s">
        <v>31</v>
      </c>
      <c r="R14" s="3" t="s">
        <v>31</v>
      </c>
      <c r="S14" s="3" t="s">
        <v>31</v>
      </c>
      <c r="T14" s="2" t="s">
        <v>31</v>
      </c>
      <c r="U14" s="3" t="s">
        <v>31</v>
      </c>
      <c r="V14" s="2" t="s">
        <v>31</v>
      </c>
      <c r="W14" s="3" t="s">
        <v>31</v>
      </c>
      <c r="X14" s="3" t="s">
        <v>31</v>
      </c>
      <c r="Y14" s="3" t="s">
        <v>31</v>
      </c>
      <c r="Z14" s="3" t="s">
        <v>31</v>
      </c>
      <c r="AA14" s="3" t="s">
        <v>31</v>
      </c>
      <c r="AB14" s="3" t="s">
        <v>31</v>
      </c>
      <c r="AC14" s="3" t="s">
        <v>31</v>
      </c>
      <c r="AD14" s="3" t="s">
        <v>31</v>
      </c>
      <c r="AE14" s="3" t="s">
        <v>31</v>
      </c>
      <c r="AF14" s="3" t="s">
        <v>31</v>
      </c>
      <c r="AG14" s="3" t="s">
        <v>31</v>
      </c>
      <c r="AH14" s="3" t="s">
        <v>31</v>
      </c>
      <c r="AI14" s="3" t="s">
        <v>31</v>
      </c>
      <c r="AJ14" s="3" t="s">
        <v>31</v>
      </c>
      <c r="AK14" s="3" t="s">
        <v>31</v>
      </c>
    </row>
    <row r="15" spans="1:37" x14ac:dyDescent="0.55000000000000004">
      <c r="A15" t="s">
        <v>53</v>
      </c>
      <c r="B15" t="s">
        <v>54</v>
      </c>
      <c r="D15" s="3" t="s">
        <v>31</v>
      </c>
      <c r="E15" s="3" t="s">
        <v>31</v>
      </c>
      <c r="F15" s="3">
        <v>6.5949999999999998</v>
      </c>
      <c r="G15" s="3">
        <v>6.9249999999999998</v>
      </c>
      <c r="H15" s="3">
        <v>4.4749999999999996</v>
      </c>
      <c r="I15" t="s">
        <v>31</v>
      </c>
      <c r="J15" s="3" t="s">
        <v>31</v>
      </c>
      <c r="K15" s="3" t="s">
        <v>31</v>
      </c>
      <c r="L15" s="3" t="s">
        <v>31</v>
      </c>
      <c r="M15" s="3" t="s">
        <v>31</v>
      </c>
      <c r="N15" s="3" t="s">
        <v>31</v>
      </c>
      <c r="O15" s="3" t="s">
        <v>31</v>
      </c>
      <c r="P15" s="3" t="s">
        <v>31</v>
      </c>
      <c r="Q15" s="3" t="s">
        <v>31</v>
      </c>
      <c r="R15" s="3" t="s">
        <v>31</v>
      </c>
      <c r="S15" s="3" t="s">
        <v>31</v>
      </c>
      <c r="T15" s="2" t="s">
        <v>31</v>
      </c>
      <c r="U15" s="3" t="s">
        <v>31</v>
      </c>
      <c r="V15" s="2" t="s">
        <v>31</v>
      </c>
      <c r="W15" s="3" t="s">
        <v>31</v>
      </c>
      <c r="X15" s="3" t="s">
        <v>31</v>
      </c>
      <c r="Y15" s="3" t="s">
        <v>31</v>
      </c>
      <c r="Z15" s="3" t="s">
        <v>31</v>
      </c>
      <c r="AA15" s="3" t="s">
        <v>31</v>
      </c>
      <c r="AB15" s="3" t="s">
        <v>31</v>
      </c>
      <c r="AC15" s="2" t="s">
        <v>31</v>
      </c>
      <c r="AD15" s="3" t="s">
        <v>31</v>
      </c>
      <c r="AE15" s="3" t="s">
        <v>31</v>
      </c>
      <c r="AF15" s="3" t="s">
        <v>31</v>
      </c>
      <c r="AG15" s="3" t="s">
        <v>31</v>
      </c>
      <c r="AH15" s="3" t="s">
        <v>31</v>
      </c>
      <c r="AI15" s="3" t="s">
        <v>31</v>
      </c>
      <c r="AJ15" s="3" t="s">
        <v>31</v>
      </c>
      <c r="AK15" s="3" t="s">
        <v>31</v>
      </c>
    </row>
    <row r="16" spans="1:37" x14ac:dyDescent="0.55000000000000004">
      <c r="A16" t="s">
        <v>55</v>
      </c>
      <c r="B16" t="s">
        <v>56</v>
      </c>
      <c r="D16" s="2" t="s">
        <v>31</v>
      </c>
      <c r="E16" s="2" t="s">
        <v>31</v>
      </c>
      <c r="F16" s="2" t="s">
        <v>31</v>
      </c>
      <c r="G16" s="2" t="s">
        <v>31</v>
      </c>
      <c r="H16" s="2" t="s">
        <v>31</v>
      </c>
      <c r="I16" s="4" t="s">
        <v>31</v>
      </c>
      <c r="J16" s="3" t="s">
        <v>31</v>
      </c>
      <c r="K16" s="3" t="s">
        <v>31</v>
      </c>
      <c r="L16" s="3" t="s">
        <v>31</v>
      </c>
      <c r="M16" s="3" t="s">
        <v>31</v>
      </c>
      <c r="N16" s="3" t="s">
        <v>31</v>
      </c>
      <c r="O16" s="3" t="s">
        <v>31</v>
      </c>
      <c r="P16" s="3" t="s">
        <v>31</v>
      </c>
      <c r="Q16" s="3" t="s">
        <v>31</v>
      </c>
      <c r="R16" s="3" t="s">
        <v>31</v>
      </c>
      <c r="S16" s="3" t="s">
        <v>31</v>
      </c>
      <c r="T16" s="2" t="s">
        <v>31</v>
      </c>
      <c r="U16" s="3" t="s">
        <v>31</v>
      </c>
      <c r="V16" s="2" t="s">
        <v>31</v>
      </c>
      <c r="W16" s="3" t="s">
        <v>31</v>
      </c>
      <c r="X16" s="3" t="s">
        <v>31</v>
      </c>
      <c r="Y16" s="3" t="s">
        <v>31</v>
      </c>
      <c r="Z16" s="3" t="s">
        <v>31</v>
      </c>
      <c r="AA16" s="3" t="s">
        <v>31</v>
      </c>
      <c r="AB16" s="3" t="s">
        <v>31</v>
      </c>
      <c r="AC16" s="3" t="s">
        <v>31</v>
      </c>
      <c r="AD16" s="3" t="s">
        <v>31</v>
      </c>
      <c r="AE16" s="3" t="s">
        <v>31</v>
      </c>
      <c r="AF16" s="3" t="s">
        <v>31</v>
      </c>
      <c r="AG16" s="3" t="s">
        <v>31</v>
      </c>
      <c r="AH16" s="3" t="s">
        <v>31</v>
      </c>
      <c r="AI16" s="3" t="s">
        <v>31</v>
      </c>
      <c r="AJ16" s="3" t="s">
        <v>31</v>
      </c>
      <c r="AK16" s="3" t="s">
        <v>31</v>
      </c>
    </row>
    <row r="17" spans="1:37" x14ac:dyDescent="0.55000000000000004">
      <c r="A17" t="s">
        <v>57</v>
      </c>
      <c r="B17" t="s">
        <v>58</v>
      </c>
      <c r="D17" s="2" t="s">
        <v>31</v>
      </c>
      <c r="E17" s="2" t="s">
        <v>31</v>
      </c>
      <c r="F17" s="2" t="s">
        <v>31</v>
      </c>
      <c r="G17" s="2" t="s">
        <v>31</v>
      </c>
      <c r="H17" s="2" t="s">
        <v>31</v>
      </c>
      <c r="I17" t="s">
        <v>31</v>
      </c>
      <c r="J17" s="3" t="s">
        <v>31</v>
      </c>
      <c r="K17" s="3" t="s">
        <v>31</v>
      </c>
      <c r="L17" s="3" t="s">
        <v>31</v>
      </c>
      <c r="M17" s="3" t="s">
        <v>31</v>
      </c>
      <c r="N17" s="3" t="s">
        <v>31</v>
      </c>
      <c r="O17" s="3" t="s">
        <v>31</v>
      </c>
      <c r="P17" s="3" t="s">
        <v>31</v>
      </c>
      <c r="Q17" s="3" t="s">
        <v>31</v>
      </c>
      <c r="R17" s="3" t="s">
        <v>31</v>
      </c>
      <c r="S17" s="3" t="s">
        <v>31</v>
      </c>
      <c r="T17" s="2" t="s">
        <v>31</v>
      </c>
      <c r="U17" s="3" t="s">
        <v>31</v>
      </c>
      <c r="V17" s="2" t="s">
        <v>31</v>
      </c>
      <c r="W17" s="3" t="s">
        <v>31</v>
      </c>
      <c r="X17" s="3" t="s">
        <v>31</v>
      </c>
      <c r="Y17" s="3" t="s">
        <v>31</v>
      </c>
      <c r="Z17" s="3" t="s">
        <v>31</v>
      </c>
      <c r="AA17" s="3" t="s">
        <v>31</v>
      </c>
      <c r="AB17" s="3" t="s">
        <v>31</v>
      </c>
      <c r="AC17" s="3" t="s">
        <v>31</v>
      </c>
      <c r="AD17" s="3" t="s">
        <v>31</v>
      </c>
      <c r="AE17" s="3" t="s">
        <v>31</v>
      </c>
      <c r="AF17" s="3" t="s">
        <v>31</v>
      </c>
      <c r="AG17" s="3" t="s">
        <v>31</v>
      </c>
      <c r="AH17" s="3" t="s">
        <v>31</v>
      </c>
      <c r="AI17" s="3" t="s">
        <v>31</v>
      </c>
      <c r="AJ17" s="3" t="s">
        <v>31</v>
      </c>
      <c r="AK17" s="3" t="s">
        <v>31</v>
      </c>
    </row>
    <row r="18" spans="1:37" x14ac:dyDescent="0.55000000000000004">
      <c r="A18" t="s">
        <v>59</v>
      </c>
      <c r="B18" t="s">
        <v>60</v>
      </c>
      <c r="D18" s="2" t="s">
        <v>31</v>
      </c>
      <c r="E18" s="2" t="s">
        <v>31</v>
      </c>
      <c r="F18" s="2" t="s">
        <v>31</v>
      </c>
      <c r="G18" s="3" t="s">
        <v>31</v>
      </c>
      <c r="H18" s="2" t="s">
        <v>31</v>
      </c>
      <c r="I18" t="s">
        <v>31</v>
      </c>
      <c r="J18" s="3" t="s">
        <v>31</v>
      </c>
      <c r="K18" s="3" t="s">
        <v>31</v>
      </c>
      <c r="L18" s="3">
        <v>0.51</v>
      </c>
      <c r="M18" s="3" t="s">
        <v>31</v>
      </c>
      <c r="N18" s="3" t="s">
        <v>31</v>
      </c>
      <c r="O18" s="3" t="s">
        <v>31</v>
      </c>
      <c r="P18" s="3" t="s">
        <v>31</v>
      </c>
      <c r="Q18" s="3" t="s">
        <v>31</v>
      </c>
      <c r="R18" s="3" t="s">
        <v>31</v>
      </c>
      <c r="S18" s="3" t="s">
        <v>31</v>
      </c>
      <c r="T18" s="2" t="s">
        <v>31</v>
      </c>
      <c r="U18" s="3" t="s">
        <v>31</v>
      </c>
      <c r="V18" s="2" t="s">
        <v>31</v>
      </c>
      <c r="W18" s="3" t="s">
        <v>31</v>
      </c>
      <c r="X18" s="3" t="s">
        <v>31</v>
      </c>
      <c r="Y18" s="3" t="s">
        <v>31</v>
      </c>
      <c r="Z18" s="3">
        <v>600</v>
      </c>
      <c r="AA18" s="3">
        <v>100</v>
      </c>
      <c r="AB18" s="3" t="s">
        <v>31</v>
      </c>
      <c r="AC18" s="3" t="s">
        <v>31</v>
      </c>
      <c r="AD18" s="3">
        <v>18.14</v>
      </c>
      <c r="AE18" s="3" t="s">
        <v>31</v>
      </c>
      <c r="AF18" s="3" t="s">
        <v>31</v>
      </c>
      <c r="AG18" s="3" t="s">
        <v>31</v>
      </c>
      <c r="AH18" s="3" t="s">
        <v>31</v>
      </c>
      <c r="AI18" s="3" t="s">
        <v>31</v>
      </c>
      <c r="AJ18" s="3" t="s">
        <v>31</v>
      </c>
      <c r="AK18" s="3" t="s">
        <v>31</v>
      </c>
    </row>
    <row r="19" spans="1:37" x14ac:dyDescent="0.55000000000000004">
      <c r="A19" t="s">
        <v>61</v>
      </c>
      <c r="B19" t="s">
        <v>62</v>
      </c>
      <c r="D19" s="2" t="s">
        <v>31</v>
      </c>
      <c r="E19" s="2" t="s">
        <v>31</v>
      </c>
      <c r="F19" s="2" t="s">
        <v>31</v>
      </c>
      <c r="G19" s="2" t="s">
        <v>31</v>
      </c>
      <c r="H19" s="2" t="s">
        <v>31</v>
      </c>
      <c r="I19" t="s">
        <v>31</v>
      </c>
      <c r="J19" s="3" t="s">
        <v>31</v>
      </c>
      <c r="K19" s="3" t="s">
        <v>31</v>
      </c>
      <c r="L19" s="3" t="s">
        <v>31</v>
      </c>
      <c r="M19" s="3" t="s">
        <v>31</v>
      </c>
      <c r="N19" s="3" t="s">
        <v>31</v>
      </c>
      <c r="O19" s="3" t="s">
        <v>31</v>
      </c>
      <c r="P19" s="3" t="s">
        <v>31</v>
      </c>
      <c r="Q19" s="3" t="s">
        <v>31</v>
      </c>
      <c r="R19" s="3" t="s">
        <v>31</v>
      </c>
      <c r="S19" s="3" t="s">
        <v>31</v>
      </c>
      <c r="T19" s="2" t="s">
        <v>31</v>
      </c>
      <c r="U19" s="3" t="s">
        <v>31</v>
      </c>
      <c r="V19" s="2" t="s">
        <v>31</v>
      </c>
      <c r="W19" s="3" t="s">
        <v>31</v>
      </c>
      <c r="X19" s="3" t="s">
        <v>31</v>
      </c>
      <c r="Y19" s="3" t="s">
        <v>31</v>
      </c>
      <c r="Z19" s="3" t="s">
        <v>31</v>
      </c>
      <c r="AA19" s="3" t="s">
        <v>31</v>
      </c>
      <c r="AB19" s="3" t="s">
        <v>31</v>
      </c>
      <c r="AC19" s="3" t="s">
        <v>31</v>
      </c>
      <c r="AD19" s="3" t="s">
        <v>31</v>
      </c>
      <c r="AE19" s="3" t="s">
        <v>31</v>
      </c>
      <c r="AF19" s="3" t="s">
        <v>31</v>
      </c>
      <c r="AG19" s="3" t="s">
        <v>31</v>
      </c>
      <c r="AH19" s="3" t="s">
        <v>31</v>
      </c>
      <c r="AI19" s="3" t="s">
        <v>31</v>
      </c>
      <c r="AJ19" s="3" t="s">
        <v>31</v>
      </c>
      <c r="AK19" s="3" t="s">
        <v>31</v>
      </c>
    </row>
    <row r="20" spans="1:37" x14ac:dyDescent="0.55000000000000004">
      <c r="A20" t="s">
        <v>63</v>
      </c>
      <c r="B20" t="s">
        <v>64</v>
      </c>
      <c r="D20" s="2" t="s">
        <v>31</v>
      </c>
      <c r="E20" s="2" t="s">
        <v>31</v>
      </c>
      <c r="F20" s="2" t="s">
        <v>31</v>
      </c>
      <c r="G20" s="3" t="s">
        <v>31</v>
      </c>
      <c r="H20" s="3" t="s">
        <v>31</v>
      </c>
      <c r="I20" s="3" t="s">
        <v>31</v>
      </c>
      <c r="J20" s="3" t="s">
        <v>31</v>
      </c>
      <c r="K20" s="3" t="s">
        <v>31</v>
      </c>
      <c r="L20" s="3" t="s">
        <v>31</v>
      </c>
      <c r="M20" s="3" t="s">
        <v>31</v>
      </c>
      <c r="N20" s="3" t="s">
        <v>31</v>
      </c>
      <c r="O20" s="3" t="s">
        <v>31</v>
      </c>
      <c r="P20" s="3" t="s">
        <v>31</v>
      </c>
      <c r="Q20" s="3" t="s">
        <v>31</v>
      </c>
      <c r="R20" s="3" t="s">
        <v>31</v>
      </c>
      <c r="S20" s="3">
        <v>23.701000000000001</v>
      </c>
      <c r="T20" s="2" t="s">
        <v>31</v>
      </c>
      <c r="U20" s="3">
        <v>19100</v>
      </c>
      <c r="V20" s="2" t="s">
        <v>31</v>
      </c>
      <c r="W20" s="3" t="s">
        <v>31</v>
      </c>
      <c r="X20" s="3" t="s">
        <v>31</v>
      </c>
      <c r="Y20" s="3" t="s">
        <v>31</v>
      </c>
      <c r="Z20" s="3" t="s">
        <v>31</v>
      </c>
      <c r="AA20" s="3" t="s">
        <v>31</v>
      </c>
      <c r="AB20" s="3" t="s">
        <v>31</v>
      </c>
      <c r="AC20" s="3" t="s">
        <v>31</v>
      </c>
      <c r="AD20" s="3" t="s">
        <v>31</v>
      </c>
      <c r="AE20" s="3" t="s">
        <v>31</v>
      </c>
      <c r="AF20" s="3" t="s">
        <v>31</v>
      </c>
      <c r="AG20" s="3" t="s">
        <v>31</v>
      </c>
      <c r="AH20" s="3" t="s">
        <v>31</v>
      </c>
      <c r="AI20" s="3" t="s">
        <v>31</v>
      </c>
      <c r="AJ20" s="3" t="s">
        <v>31</v>
      </c>
      <c r="AK20" s="3" t="s">
        <v>31</v>
      </c>
    </row>
    <row r="21" spans="1:37" x14ac:dyDescent="0.55000000000000004">
      <c r="A21" t="s">
        <v>65</v>
      </c>
      <c r="B21" t="s">
        <v>66</v>
      </c>
      <c r="D21" s="3" t="s">
        <v>31</v>
      </c>
      <c r="E21" s="3" t="s">
        <v>31</v>
      </c>
      <c r="F21" s="3">
        <v>5.0599999999999996</v>
      </c>
      <c r="G21" s="2" t="s">
        <v>31</v>
      </c>
      <c r="H21" s="3">
        <v>4.92</v>
      </c>
      <c r="I21" t="s">
        <v>31</v>
      </c>
      <c r="J21" s="3" t="s">
        <v>31</v>
      </c>
      <c r="K21" s="3" t="s">
        <v>31</v>
      </c>
      <c r="L21" s="3">
        <v>0.60099999999999998</v>
      </c>
      <c r="M21" s="3" t="s">
        <v>31</v>
      </c>
      <c r="N21" s="3" t="s">
        <v>31</v>
      </c>
      <c r="O21" s="3" t="s">
        <v>31</v>
      </c>
      <c r="P21" s="3" t="s">
        <v>31</v>
      </c>
      <c r="Q21" s="3" t="s">
        <v>31</v>
      </c>
      <c r="R21" s="3" t="s">
        <v>31</v>
      </c>
      <c r="S21" s="3" t="s">
        <v>31</v>
      </c>
      <c r="T21" s="2" t="s">
        <v>31</v>
      </c>
      <c r="U21" s="3" t="s">
        <v>31</v>
      </c>
      <c r="V21" s="2" t="s">
        <v>31</v>
      </c>
      <c r="W21" s="3" t="s">
        <v>31</v>
      </c>
      <c r="X21" s="3" t="s">
        <v>31</v>
      </c>
      <c r="Y21" s="3" t="s">
        <v>31</v>
      </c>
      <c r="Z21" s="3" t="s">
        <v>31</v>
      </c>
      <c r="AA21" s="3" t="s">
        <v>31</v>
      </c>
      <c r="AB21" s="3" t="s">
        <v>31</v>
      </c>
      <c r="AC21" s="3" t="s">
        <v>31</v>
      </c>
      <c r="AD21" s="3" t="s">
        <v>31</v>
      </c>
      <c r="AE21" s="3" t="s">
        <v>31</v>
      </c>
      <c r="AF21" s="3" t="s">
        <v>31</v>
      </c>
      <c r="AG21" s="3" t="s">
        <v>31</v>
      </c>
      <c r="AH21" s="3" t="s">
        <v>31</v>
      </c>
      <c r="AI21" s="3" t="s">
        <v>31</v>
      </c>
      <c r="AJ21" s="3" t="s">
        <v>31</v>
      </c>
      <c r="AK21" s="3" t="s">
        <v>31</v>
      </c>
    </row>
    <row r="22" spans="1:37" x14ac:dyDescent="0.55000000000000004">
      <c r="A22" t="s">
        <v>67</v>
      </c>
      <c r="B22" t="s">
        <v>68</v>
      </c>
      <c r="D22" s="3">
        <v>11.762122598353155</v>
      </c>
      <c r="E22" s="3">
        <v>13.296835119959162</v>
      </c>
      <c r="F22" s="3">
        <v>9.8735870384325555</v>
      </c>
      <c r="G22" s="3">
        <v>23.669076751946605</v>
      </c>
      <c r="H22" s="3">
        <v>8.3415682062298604</v>
      </c>
      <c r="I22" t="s">
        <v>31</v>
      </c>
      <c r="J22" s="3" t="s">
        <v>31</v>
      </c>
      <c r="K22" s="3" t="s">
        <v>31</v>
      </c>
      <c r="L22" s="3" t="s">
        <v>31</v>
      </c>
      <c r="M22" s="3" t="s">
        <v>31</v>
      </c>
      <c r="N22" s="3" t="s">
        <v>31</v>
      </c>
      <c r="O22" s="3" t="s">
        <v>31</v>
      </c>
      <c r="P22" s="3" t="s">
        <v>31</v>
      </c>
      <c r="Q22" s="3" t="s">
        <v>31</v>
      </c>
      <c r="R22" s="3" t="s">
        <v>31</v>
      </c>
      <c r="S22" s="3" t="s">
        <v>31</v>
      </c>
      <c r="T22" s="2" t="s">
        <v>31</v>
      </c>
      <c r="U22" s="3" t="s">
        <v>31</v>
      </c>
      <c r="V22" s="2" t="s">
        <v>31</v>
      </c>
      <c r="W22" s="3" t="s">
        <v>31</v>
      </c>
      <c r="X22" s="3" t="s">
        <v>31</v>
      </c>
      <c r="Y22" s="3" t="s">
        <v>31</v>
      </c>
      <c r="Z22" s="3" t="s">
        <v>31</v>
      </c>
      <c r="AA22" s="3" t="s">
        <v>31</v>
      </c>
      <c r="AB22" s="3" t="s">
        <v>31</v>
      </c>
      <c r="AC22" s="3" t="s">
        <v>31</v>
      </c>
      <c r="AD22" s="3" t="s">
        <v>31</v>
      </c>
      <c r="AE22" s="3" t="s">
        <v>31</v>
      </c>
      <c r="AF22" s="3" t="s">
        <v>31</v>
      </c>
      <c r="AG22" s="3" t="s">
        <v>31</v>
      </c>
      <c r="AH22" s="3" t="s">
        <v>31</v>
      </c>
      <c r="AI22" s="3" t="s">
        <v>31</v>
      </c>
      <c r="AJ22" s="3" t="s">
        <v>31</v>
      </c>
      <c r="AK22" s="3" t="s">
        <v>31</v>
      </c>
    </row>
    <row r="23" spans="1:37" x14ac:dyDescent="0.55000000000000004">
      <c r="A23" t="s">
        <v>69</v>
      </c>
      <c r="B23" t="s">
        <v>70</v>
      </c>
      <c r="D23" s="3">
        <v>13.570905763952425</v>
      </c>
      <c r="E23" s="3">
        <v>15.732771822358345</v>
      </c>
      <c r="F23" s="3">
        <v>12.2871137905049</v>
      </c>
      <c r="G23" s="3">
        <v>22.322024471635153</v>
      </c>
      <c r="H23" s="3">
        <v>7.4701549792849464</v>
      </c>
      <c r="I23" t="s">
        <v>31</v>
      </c>
      <c r="J23" s="3" t="s">
        <v>31</v>
      </c>
      <c r="K23" s="3" t="s">
        <v>31</v>
      </c>
      <c r="L23" s="3" t="s">
        <v>31</v>
      </c>
      <c r="M23" s="3" t="s">
        <v>31</v>
      </c>
      <c r="N23" s="3" t="s">
        <v>31</v>
      </c>
      <c r="O23" s="3" t="s">
        <v>31</v>
      </c>
      <c r="P23" s="3" t="s">
        <v>31</v>
      </c>
      <c r="Q23" s="3" t="s">
        <v>31</v>
      </c>
      <c r="R23" s="3" t="s">
        <v>31</v>
      </c>
      <c r="S23" s="3" t="s">
        <v>31</v>
      </c>
      <c r="T23" s="2" t="s">
        <v>31</v>
      </c>
      <c r="U23" s="3" t="s">
        <v>31</v>
      </c>
      <c r="V23" s="2" t="s">
        <v>31</v>
      </c>
      <c r="W23" s="3" t="s">
        <v>31</v>
      </c>
      <c r="X23" s="3" t="s">
        <v>31</v>
      </c>
      <c r="Y23" s="3" t="s">
        <v>31</v>
      </c>
      <c r="Z23" s="3" t="s">
        <v>31</v>
      </c>
      <c r="AA23" s="3" t="s">
        <v>31</v>
      </c>
      <c r="AB23" s="3" t="s">
        <v>31</v>
      </c>
      <c r="AC23" s="3" t="s">
        <v>31</v>
      </c>
      <c r="AD23" s="3" t="s">
        <v>31</v>
      </c>
      <c r="AE23" s="3" t="s">
        <v>31</v>
      </c>
      <c r="AF23" s="3" t="s">
        <v>31</v>
      </c>
      <c r="AG23" s="3" t="s">
        <v>31</v>
      </c>
      <c r="AH23" s="3" t="s">
        <v>31</v>
      </c>
      <c r="AI23" s="3" t="s">
        <v>31</v>
      </c>
      <c r="AJ23" s="3" t="s">
        <v>31</v>
      </c>
      <c r="AK23" s="3" t="s">
        <v>31</v>
      </c>
    </row>
    <row r="24" spans="1:37" x14ac:dyDescent="0.55000000000000004">
      <c r="A24" t="s">
        <v>71</v>
      </c>
      <c r="B24" t="s">
        <v>72</v>
      </c>
      <c r="D24" s="3">
        <v>12.803522415370541</v>
      </c>
      <c r="E24" s="3">
        <v>14.686830015313934</v>
      </c>
      <c r="F24" s="3">
        <v>8.0126224566691793</v>
      </c>
      <c r="G24" s="3">
        <v>7.7041156840934377</v>
      </c>
      <c r="H24" s="3">
        <v>7.6145465705079012</v>
      </c>
      <c r="I24" t="s">
        <v>31</v>
      </c>
      <c r="J24" s="3" t="s">
        <v>31</v>
      </c>
      <c r="K24" s="3" t="s">
        <v>31</v>
      </c>
      <c r="L24" s="3">
        <v>1.281663516068053</v>
      </c>
      <c r="M24" s="3" t="s">
        <v>31</v>
      </c>
      <c r="N24" s="3" t="s">
        <v>31</v>
      </c>
      <c r="O24" s="3" t="s">
        <v>31</v>
      </c>
      <c r="P24" s="3" t="s">
        <v>31</v>
      </c>
      <c r="Q24" s="3" t="s">
        <v>31</v>
      </c>
      <c r="R24" s="3" t="s">
        <v>31</v>
      </c>
      <c r="S24" s="3" t="s">
        <v>31</v>
      </c>
      <c r="T24" s="2" t="s">
        <v>31</v>
      </c>
      <c r="U24" s="3" t="s">
        <v>31</v>
      </c>
      <c r="V24" s="2" t="s">
        <v>31</v>
      </c>
      <c r="W24" s="3" t="s">
        <v>31</v>
      </c>
      <c r="X24" s="3" t="s">
        <v>31</v>
      </c>
      <c r="Y24" s="3" t="s">
        <v>31</v>
      </c>
      <c r="Z24" s="3" t="s">
        <v>31</v>
      </c>
      <c r="AA24" s="3" t="s">
        <v>31</v>
      </c>
      <c r="AB24" s="3" t="s">
        <v>31</v>
      </c>
      <c r="AC24" s="3" t="s">
        <v>31</v>
      </c>
      <c r="AD24" s="3" t="s">
        <v>31</v>
      </c>
      <c r="AE24" s="3" t="s">
        <v>31</v>
      </c>
      <c r="AF24" s="3" t="s">
        <v>31</v>
      </c>
      <c r="AG24" s="3" t="s">
        <v>31</v>
      </c>
      <c r="AH24" s="3" t="s">
        <v>31</v>
      </c>
      <c r="AI24" s="3" t="s">
        <v>31</v>
      </c>
      <c r="AJ24" s="3" t="s">
        <v>31</v>
      </c>
      <c r="AK24" s="3" t="s">
        <v>31</v>
      </c>
    </row>
    <row r="25" spans="1:37" x14ac:dyDescent="0.55000000000000004">
      <c r="A25" t="s">
        <v>73</v>
      </c>
      <c r="B25" t="s">
        <v>74</v>
      </c>
      <c r="D25" s="3">
        <v>11.39935956084172</v>
      </c>
      <c r="E25" s="3">
        <v>14.85273098519653</v>
      </c>
      <c r="F25" s="3">
        <v>9.5985305199698558</v>
      </c>
      <c r="G25" s="3">
        <v>8.508898776418242</v>
      </c>
      <c r="H25" s="3">
        <v>7.0676691729323302</v>
      </c>
      <c r="I25" t="s">
        <v>31</v>
      </c>
      <c r="J25" s="3" t="s">
        <v>31</v>
      </c>
      <c r="K25" s="3" t="s">
        <v>31</v>
      </c>
      <c r="L25" s="3" t="s">
        <v>31</v>
      </c>
      <c r="M25" s="3" t="s">
        <v>31</v>
      </c>
      <c r="N25" s="3" t="s">
        <v>31</v>
      </c>
      <c r="O25" s="3" t="s">
        <v>31</v>
      </c>
      <c r="P25" s="3" t="s">
        <v>31</v>
      </c>
      <c r="Q25" s="3" t="s">
        <v>31</v>
      </c>
      <c r="R25" s="3" t="s">
        <v>31</v>
      </c>
      <c r="S25" s="3" t="s">
        <v>31</v>
      </c>
      <c r="T25" s="2" t="s">
        <v>31</v>
      </c>
      <c r="U25" s="3" t="s">
        <v>31</v>
      </c>
      <c r="V25" s="2" t="s">
        <v>31</v>
      </c>
      <c r="W25" s="3" t="s">
        <v>31</v>
      </c>
      <c r="X25" s="3" t="s">
        <v>31</v>
      </c>
      <c r="Y25" s="3" t="s">
        <v>31</v>
      </c>
      <c r="Z25" s="3" t="s">
        <v>31</v>
      </c>
      <c r="AA25" s="3" t="s">
        <v>31</v>
      </c>
      <c r="AB25" s="3" t="s">
        <v>31</v>
      </c>
      <c r="AC25" s="3" t="s">
        <v>31</v>
      </c>
      <c r="AD25" s="3" t="s">
        <v>31</v>
      </c>
      <c r="AE25" s="3" t="s">
        <v>31</v>
      </c>
      <c r="AF25" s="3" t="s">
        <v>31</v>
      </c>
      <c r="AG25" s="3" t="s">
        <v>31</v>
      </c>
      <c r="AH25" s="3" t="s">
        <v>31</v>
      </c>
      <c r="AI25" s="3" t="s">
        <v>31</v>
      </c>
      <c r="AJ25" s="3" t="s">
        <v>31</v>
      </c>
      <c r="AK25" s="3" t="s">
        <v>31</v>
      </c>
    </row>
    <row r="26" spans="1:37" x14ac:dyDescent="0.55000000000000004">
      <c r="A26" t="s">
        <v>53</v>
      </c>
      <c r="B26" t="s">
        <v>75</v>
      </c>
      <c r="D26" s="3">
        <v>8.260064043915829</v>
      </c>
      <c r="E26" s="3">
        <v>15.940020418580909</v>
      </c>
      <c r="F26" s="3">
        <v>9.8685003767897506</v>
      </c>
      <c r="G26" s="3">
        <v>11.268631813125694</v>
      </c>
      <c r="H26" s="3">
        <v>8.3586005830903787</v>
      </c>
      <c r="I26" t="s">
        <v>31</v>
      </c>
      <c r="J26" s="3" t="s">
        <v>31</v>
      </c>
      <c r="K26" s="3" t="s">
        <v>31</v>
      </c>
      <c r="L26" s="3">
        <v>0.63895000000000002</v>
      </c>
      <c r="M26" s="3" t="s">
        <v>31</v>
      </c>
      <c r="N26" s="3" t="s">
        <v>31</v>
      </c>
      <c r="O26" s="3" t="s">
        <v>31</v>
      </c>
      <c r="P26" s="3" t="s">
        <v>31</v>
      </c>
      <c r="Q26" s="3" t="s">
        <v>31</v>
      </c>
      <c r="R26" s="3" t="s">
        <v>31</v>
      </c>
      <c r="S26" s="3" t="s">
        <v>31</v>
      </c>
      <c r="T26" s="2" t="s">
        <v>31</v>
      </c>
      <c r="U26" s="3" t="s">
        <v>31</v>
      </c>
      <c r="V26" s="2" t="s">
        <v>31</v>
      </c>
      <c r="W26" s="3" t="s">
        <v>31</v>
      </c>
      <c r="X26" s="3" t="s">
        <v>31</v>
      </c>
      <c r="Y26" s="3" t="s">
        <v>31</v>
      </c>
      <c r="Z26" s="3" t="s">
        <v>31</v>
      </c>
      <c r="AA26" s="3" t="s">
        <v>31</v>
      </c>
      <c r="AB26" s="3" t="s">
        <v>31</v>
      </c>
      <c r="AC26" s="3" t="s">
        <v>31</v>
      </c>
      <c r="AD26" s="3" t="s">
        <v>31</v>
      </c>
      <c r="AE26" s="3" t="s">
        <v>31</v>
      </c>
      <c r="AF26" s="3" t="s">
        <v>31</v>
      </c>
      <c r="AG26" s="3" t="s">
        <v>31</v>
      </c>
      <c r="AH26" s="3" t="s">
        <v>31</v>
      </c>
      <c r="AI26" s="3" t="s">
        <v>31</v>
      </c>
      <c r="AJ26" s="3" t="s">
        <v>31</v>
      </c>
      <c r="AK26" s="3" t="s">
        <v>31</v>
      </c>
    </row>
    <row r="27" spans="1:37" x14ac:dyDescent="0.55000000000000004">
      <c r="A27" t="s">
        <v>76</v>
      </c>
      <c r="B27" t="s">
        <v>77</v>
      </c>
      <c r="D27" s="3">
        <v>11.721180237877402</v>
      </c>
      <c r="E27" s="3">
        <v>14.918580908626849</v>
      </c>
      <c r="F27" s="3">
        <v>7.8449510173323276</v>
      </c>
      <c r="G27" s="3">
        <v>8.2619577308120125</v>
      </c>
      <c r="H27" s="3">
        <v>9.926960257787325</v>
      </c>
      <c r="I27" t="s">
        <v>31</v>
      </c>
      <c r="J27" s="3" t="s">
        <v>31</v>
      </c>
      <c r="K27" s="3" t="s">
        <v>31</v>
      </c>
      <c r="L27" s="3">
        <v>1.2731568998109641</v>
      </c>
      <c r="M27" s="3" t="s">
        <v>31</v>
      </c>
      <c r="N27" s="3" t="s">
        <v>31</v>
      </c>
      <c r="O27" s="3" t="s">
        <v>31</v>
      </c>
      <c r="P27" s="3" t="s">
        <v>31</v>
      </c>
      <c r="Q27" s="3" t="s">
        <v>31</v>
      </c>
      <c r="R27" s="3" t="s">
        <v>31</v>
      </c>
      <c r="S27" s="3" t="s">
        <v>31</v>
      </c>
      <c r="T27" s="2" t="s">
        <v>31</v>
      </c>
      <c r="U27" s="3" t="s">
        <v>31</v>
      </c>
      <c r="V27" s="2" t="s">
        <v>31</v>
      </c>
      <c r="W27" s="3" t="s">
        <v>31</v>
      </c>
      <c r="X27" s="3" t="s">
        <v>31</v>
      </c>
      <c r="Y27" s="3" t="s">
        <v>31</v>
      </c>
      <c r="Z27" s="3" t="s">
        <v>31</v>
      </c>
      <c r="AA27" s="3" t="s">
        <v>31</v>
      </c>
      <c r="AB27" s="3" t="s">
        <v>31</v>
      </c>
      <c r="AC27" s="3" t="s">
        <v>31</v>
      </c>
      <c r="AD27" s="3" t="s">
        <v>31</v>
      </c>
      <c r="AE27" s="3" t="s">
        <v>31</v>
      </c>
      <c r="AF27" s="3" t="s">
        <v>31</v>
      </c>
      <c r="AG27" s="3" t="s">
        <v>31</v>
      </c>
      <c r="AH27" s="3" t="s">
        <v>31</v>
      </c>
      <c r="AI27" s="3" t="s">
        <v>31</v>
      </c>
      <c r="AJ27" s="3" t="s">
        <v>31</v>
      </c>
      <c r="AK27" s="3" t="s">
        <v>31</v>
      </c>
    </row>
    <row r="28" spans="1:37" x14ac:dyDescent="0.55000000000000004">
      <c r="A28" s="5" t="s">
        <v>78</v>
      </c>
      <c r="B28" s="5" t="s">
        <v>79</v>
      </c>
      <c r="C28" s="5"/>
      <c r="D28" s="6" t="s">
        <v>31</v>
      </c>
      <c r="E28" s="6" t="s">
        <v>31</v>
      </c>
      <c r="F28" s="6" t="s">
        <v>31</v>
      </c>
      <c r="G28" s="4">
        <v>1.9</v>
      </c>
      <c r="H28" s="6" t="s">
        <v>31</v>
      </c>
      <c r="I28" s="5" t="s">
        <v>31</v>
      </c>
      <c r="J28" s="6" t="s">
        <v>31</v>
      </c>
      <c r="K28" s="6" t="s">
        <v>31</v>
      </c>
      <c r="L28" s="6" t="s">
        <v>31</v>
      </c>
      <c r="M28" s="6" t="s">
        <v>31</v>
      </c>
      <c r="N28" s="6" t="s">
        <v>31</v>
      </c>
      <c r="O28" s="6" t="s">
        <v>31</v>
      </c>
      <c r="P28" s="6" t="s">
        <v>31</v>
      </c>
      <c r="Q28" s="6">
        <v>200</v>
      </c>
      <c r="R28" s="6" t="s">
        <v>31</v>
      </c>
      <c r="S28" s="6" t="s">
        <v>31</v>
      </c>
      <c r="T28" s="4" t="s">
        <v>31</v>
      </c>
      <c r="U28" s="6" t="s">
        <v>31</v>
      </c>
      <c r="V28" s="4" t="s">
        <v>31</v>
      </c>
      <c r="W28" s="6" t="s">
        <v>31</v>
      </c>
      <c r="X28" s="6" t="s">
        <v>31</v>
      </c>
      <c r="Y28" s="6" t="s">
        <v>31</v>
      </c>
      <c r="Z28" s="6" t="s">
        <v>31</v>
      </c>
      <c r="AA28" s="6" t="s">
        <v>31</v>
      </c>
      <c r="AB28" s="6" t="s">
        <v>31</v>
      </c>
      <c r="AC28" s="6" t="s">
        <v>31</v>
      </c>
      <c r="AD28" s="6" t="s">
        <v>31</v>
      </c>
      <c r="AE28" s="6" t="s">
        <v>31</v>
      </c>
      <c r="AF28" s="6" t="s">
        <v>31</v>
      </c>
      <c r="AG28" s="6" t="s">
        <v>31</v>
      </c>
      <c r="AH28" s="6" t="s">
        <v>31</v>
      </c>
      <c r="AI28" s="6" t="s">
        <v>31</v>
      </c>
      <c r="AJ28" s="6" t="s">
        <v>31</v>
      </c>
      <c r="AK28" s="6">
        <v>10.9</v>
      </c>
    </row>
    <row r="29" spans="1:37" x14ac:dyDescent="0.55000000000000004">
      <c r="A29" s="5" t="s">
        <v>80</v>
      </c>
      <c r="B29" s="5" t="s">
        <v>74</v>
      </c>
      <c r="C29" s="5"/>
      <c r="D29" s="6">
        <v>11.4</v>
      </c>
      <c r="E29" s="6">
        <v>9.6</v>
      </c>
      <c r="F29" s="6">
        <v>14.9</v>
      </c>
      <c r="G29" s="6">
        <v>8.5</v>
      </c>
      <c r="H29" s="6">
        <v>7.1</v>
      </c>
      <c r="I29" s="5" t="s">
        <v>31</v>
      </c>
      <c r="J29" s="6" t="s">
        <v>31</v>
      </c>
      <c r="K29" s="6" t="s">
        <v>31</v>
      </c>
      <c r="L29" s="6" t="s">
        <v>31</v>
      </c>
      <c r="M29" s="6" t="s">
        <v>31</v>
      </c>
      <c r="N29" s="6" t="s">
        <v>31</v>
      </c>
      <c r="O29" s="6" t="s">
        <v>31</v>
      </c>
      <c r="P29" s="6" t="s">
        <v>31</v>
      </c>
      <c r="Q29" s="6" t="s">
        <v>31</v>
      </c>
      <c r="R29" s="6" t="s">
        <v>31</v>
      </c>
      <c r="S29" s="6" t="s">
        <v>31</v>
      </c>
      <c r="T29" s="4" t="s">
        <v>31</v>
      </c>
      <c r="U29" s="6" t="s">
        <v>31</v>
      </c>
      <c r="V29" s="4" t="s">
        <v>31</v>
      </c>
      <c r="W29" s="6" t="s">
        <v>31</v>
      </c>
      <c r="X29" s="6" t="s">
        <v>31</v>
      </c>
      <c r="Y29" s="6" t="s">
        <v>31</v>
      </c>
      <c r="Z29" s="6" t="s">
        <v>31</v>
      </c>
      <c r="AA29" s="6" t="s">
        <v>31</v>
      </c>
      <c r="AB29" s="6" t="s">
        <v>31</v>
      </c>
      <c r="AC29" s="6" t="s">
        <v>31</v>
      </c>
      <c r="AD29" s="6" t="s">
        <v>31</v>
      </c>
      <c r="AE29" s="6" t="s">
        <v>31</v>
      </c>
      <c r="AF29" s="6" t="s">
        <v>31</v>
      </c>
      <c r="AG29" s="6" t="s">
        <v>31</v>
      </c>
      <c r="AH29" s="6" t="s">
        <v>31</v>
      </c>
      <c r="AI29" s="6" t="s">
        <v>31</v>
      </c>
      <c r="AJ29" s="6" t="s">
        <v>31</v>
      </c>
      <c r="AK29" s="6" t="s">
        <v>31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Gonya</dc:creator>
  <cp:lastModifiedBy>Susan Gonya</cp:lastModifiedBy>
  <dcterms:created xsi:type="dcterms:W3CDTF">2025-12-04T14:40:18Z</dcterms:created>
  <dcterms:modified xsi:type="dcterms:W3CDTF">2025-12-06T13:19:48Z</dcterms:modified>
</cp:coreProperties>
</file>